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a11\Desktop\"/>
    </mc:Choice>
  </mc:AlternateContent>
  <xr:revisionPtr revIDLastSave="0" documentId="13_ncr:1_{4C3317A3-FD31-44F5-958B-F9D343E74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3" i="1" l="1"/>
  <c r="M322" i="1"/>
  <c r="O322" i="1" s="1"/>
  <c r="M321" i="1"/>
  <c r="O321" i="1" s="1"/>
  <c r="M320" i="1"/>
  <c r="O320" i="1" s="1"/>
  <c r="M319" i="1"/>
  <c r="O319" i="1" s="1"/>
  <c r="M318" i="1"/>
  <c r="O318" i="1" s="1"/>
  <c r="M317" i="1"/>
  <c r="O317" i="1" s="1"/>
  <c r="M316" i="1"/>
  <c r="O316" i="1" s="1"/>
  <c r="M315" i="1"/>
  <c r="O315" i="1" s="1"/>
  <c r="M314" i="1"/>
  <c r="O314" i="1" s="1"/>
  <c r="M313" i="1"/>
  <c r="O313" i="1" s="1"/>
  <c r="M312" i="1"/>
  <c r="O312" i="1" s="1"/>
  <c r="M311" i="1"/>
  <c r="O311" i="1" s="1"/>
  <c r="M310" i="1"/>
  <c r="O310" i="1" s="1"/>
  <c r="M309" i="1"/>
  <c r="O309" i="1" s="1"/>
  <c r="M308" i="1"/>
  <c r="O308" i="1" s="1"/>
  <c r="M307" i="1"/>
  <c r="O307" i="1" s="1"/>
  <c r="M306" i="1"/>
  <c r="O306" i="1" s="1"/>
  <c r="M305" i="1"/>
  <c r="O305" i="1" s="1"/>
  <c r="M304" i="1"/>
  <c r="O304" i="1" s="1"/>
  <c r="M303" i="1"/>
  <c r="O303" i="1" s="1"/>
  <c r="M302" i="1"/>
  <c r="O302" i="1" s="1"/>
  <c r="M301" i="1"/>
  <c r="O301" i="1" s="1"/>
  <c r="M300" i="1"/>
  <c r="O300" i="1" s="1"/>
  <c r="M299" i="1"/>
  <c r="O299" i="1" s="1"/>
  <c r="M298" i="1"/>
  <c r="O298" i="1" s="1"/>
  <c r="M297" i="1"/>
  <c r="O297" i="1" s="1"/>
  <c r="M296" i="1"/>
  <c r="O296" i="1" s="1"/>
  <c r="M295" i="1"/>
  <c r="O295" i="1" s="1"/>
  <c r="M294" i="1"/>
  <c r="O294" i="1" s="1"/>
  <c r="M293" i="1"/>
  <c r="O293" i="1" s="1"/>
  <c r="M292" i="1"/>
  <c r="O292" i="1" s="1"/>
  <c r="M291" i="1"/>
  <c r="O291" i="1" s="1"/>
  <c r="M290" i="1"/>
  <c r="O290" i="1" s="1"/>
  <c r="M289" i="1"/>
  <c r="O289" i="1" s="1"/>
  <c r="M288" i="1"/>
  <c r="O288" i="1" s="1"/>
  <c r="M287" i="1"/>
  <c r="O287" i="1" s="1"/>
  <c r="M286" i="1"/>
  <c r="O286" i="1" s="1"/>
  <c r="M285" i="1"/>
  <c r="O285" i="1" s="1"/>
  <c r="M284" i="1"/>
  <c r="O284" i="1" s="1"/>
  <c r="M283" i="1"/>
  <c r="O283" i="1" s="1"/>
  <c r="M282" i="1"/>
  <c r="O282" i="1" s="1"/>
  <c r="M281" i="1"/>
  <c r="O281" i="1" s="1"/>
  <c r="M280" i="1"/>
  <c r="O280" i="1" s="1"/>
  <c r="M279" i="1"/>
  <c r="O279" i="1" s="1"/>
  <c r="M278" i="1"/>
  <c r="O278" i="1" s="1"/>
  <c r="M277" i="1"/>
  <c r="O277" i="1" s="1"/>
  <c r="M276" i="1"/>
  <c r="O276" i="1" s="1"/>
  <c r="M275" i="1"/>
  <c r="O275" i="1" s="1"/>
  <c r="M274" i="1"/>
  <c r="O274" i="1" s="1"/>
  <c r="M273" i="1"/>
  <c r="O273" i="1" s="1"/>
  <c r="O272" i="1"/>
  <c r="M272" i="1"/>
  <c r="M271" i="1"/>
  <c r="O271" i="1" s="1"/>
  <c r="M270" i="1"/>
  <c r="O270" i="1" s="1"/>
  <c r="M269" i="1"/>
  <c r="O269" i="1" s="1"/>
  <c r="M268" i="1"/>
  <c r="O268" i="1" s="1"/>
  <c r="M267" i="1"/>
  <c r="O267" i="1" s="1"/>
  <c r="M266" i="1"/>
  <c r="O266" i="1" s="1"/>
  <c r="M265" i="1"/>
  <c r="O265" i="1" s="1"/>
  <c r="M264" i="1"/>
  <c r="O264" i="1" s="1"/>
  <c r="M263" i="1"/>
  <c r="O263" i="1" s="1"/>
  <c r="M262" i="1"/>
  <c r="O262" i="1" s="1"/>
  <c r="M261" i="1"/>
  <c r="O261" i="1" s="1"/>
  <c r="M260" i="1"/>
  <c r="O260" i="1" s="1"/>
  <c r="M259" i="1"/>
  <c r="O259" i="1" s="1"/>
  <c r="M258" i="1"/>
  <c r="O258" i="1" s="1"/>
  <c r="M257" i="1"/>
  <c r="O257" i="1" s="1"/>
  <c r="M256" i="1"/>
  <c r="O256" i="1" s="1"/>
  <c r="M255" i="1"/>
  <c r="O255" i="1" s="1"/>
  <c r="M254" i="1"/>
  <c r="O254" i="1" s="1"/>
  <c r="M253" i="1"/>
  <c r="O253" i="1" s="1"/>
  <c r="M252" i="1"/>
  <c r="O252" i="1" s="1"/>
  <c r="M251" i="1"/>
  <c r="O251" i="1" s="1"/>
  <c r="M250" i="1"/>
  <c r="O250" i="1" s="1"/>
  <c r="O249" i="1"/>
  <c r="M249" i="1"/>
  <c r="M248" i="1"/>
  <c r="O248" i="1" s="1"/>
  <c r="M247" i="1"/>
  <c r="O247" i="1" s="1"/>
  <c r="M246" i="1"/>
  <c r="O246" i="1" s="1"/>
  <c r="M245" i="1"/>
  <c r="O245" i="1" s="1"/>
  <c r="M244" i="1"/>
  <c r="O244" i="1" s="1"/>
  <c r="M243" i="1"/>
  <c r="O243" i="1" s="1"/>
  <c r="M242" i="1"/>
  <c r="O242" i="1" s="1"/>
  <c r="M241" i="1"/>
  <c r="O241" i="1" s="1"/>
  <c r="M240" i="1"/>
  <c r="O240" i="1" s="1"/>
  <c r="M239" i="1"/>
  <c r="O239" i="1" s="1"/>
  <c r="M238" i="1"/>
  <c r="O238" i="1" s="1"/>
  <c r="M237" i="1"/>
  <c r="O237" i="1" s="1"/>
  <c r="M236" i="1"/>
  <c r="O236" i="1" s="1"/>
  <c r="M235" i="1"/>
  <c r="O235" i="1" s="1"/>
  <c r="M234" i="1"/>
  <c r="O234" i="1" s="1"/>
  <c r="M233" i="1"/>
  <c r="O233" i="1" s="1"/>
  <c r="M232" i="1"/>
  <c r="O232" i="1" s="1"/>
  <c r="M231" i="1"/>
  <c r="O231" i="1" s="1"/>
  <c r="M230" i="1"/>
  <c r="O230" i="1" s="1"/>
  <c r="M229" i="1"/>
  <c r="O229" i="1" s="1"/>
  <c r="M228" i="1"/>
  <c r="O228" i="1" s="1"/>
  <c r="M227" i="1"/>
  <c r="O227" i="1" s="1"/>
  <c r="M226" i="1"/>
  <c r="O226" i="1" s="1"/>
  <c r="M225" i="1"/>
  <c r="O225" i="1" s="1"/>
  <c r="M224" i="1"/>
  <c r="O224" i="1" s="1"/>
  <c r="M223" i="1"/>
  <c r="O223" i="1" s="1"/>
  <c r="M222" i="1"/>
  <c r="O222" i="1" s="1"/>
  <c r="M221" i="1"/>
  <c r="O221" i="1" s="1"/>
  <c r="M220" i="1"/>
  <c r="O220" i="1" s="1"/>
  <c r="M219" i="1"/>
  <c r="O219" i="1" s="1"/>
  <c r="M218" i="1"/>
  <c r="O218" i="1" s="1"/>
  <c r="M217" i="1"/>
  <c r="O217" i="1" s="1"/>
  <c r="M216" i="1"/>
  <c r="O216" i="1" s="1"/>
  <c r="M215" i="1"/>
  <c r="O215" i="1" s="1"/>
  <c r="M214" i="1"/>
  <c r="O214" i="1" s="1"/>
  <c r="M213" i="1"/>
  <c r="O213" i="1" s="1"/>
  <c r="M212" i="1"/>
  <c r="O212" i="1" s="1"/>
  <c r="M211" i="1"/>
  <c r="O211" i="1" s="1"/>
  <c r="M210" i="1"/>
  <c r="O210" i="1" s="1"/>
  <c r="M209" i="1"/>
  <c r="O209" i="1" s="1"/>
  <c r="M208" i="1"/>
  <c r="O208" i="1" s="1"/>
  <c r="M207" i="1"/>
  <c r="O207" i="1" s="1"/>
  <c r="M206" i="1"/>
  <c r="O206" i="1" s="1"/>
  <c r="M205" i="1"/>
  <c r="O205" i="1" s="1"/>
  <c r="M204" i="1"/>
  <c r="O204" i="1" s="1"/>
  <c r="M203" i="1"/>
  <c r="O203" i="1" s="1"/>
  <c r="M202" i="1"/>
  <c r="O202" i="1" s="1"/>
  <c r="M201" i="1"/>
  <c r="O201" i="1" s="1"/>
  <c r="M200" i="1"/>
  <c r="O200" i="1" s="1"/>
  <c r="M199" i="1"/>
  <c r="O199" i="1" s="1"/>
  <c r="M198" i="1"/>
  <c r="O198" i="1" s="1"/>
  <c r="M197" i="1"/>
  <c r="O197" i="1" s="1"/>
  <c r="M196" i="1"/>
  <c r="O196" i="1" s="1"/>
  <c r="M195" i="1"/>
  <c r="O195" i="1" s="1"/>
  <c r="M194" i="1"/>
  <c r="O194" i="1" s="1"/>
  <c r="M193" i="1"/>
  <c r="O193" i="1" s="1"/>
  <c r="M192" i="1"/>
  <c r="O192" i="1" s="1"/>
  <c r="M191" i="1"/>
  <c r="O191" i="1" s="1"/>
  <c r="M190" i="1"/>
  <c r="O190" i="1" s="1"/>
  <c r="M189" i="1"/>
  <c r="O189" i="1" s="1"/>
  <c r="M188" i="1"/>
  <c r="O188" i="1" s="1"/>
  <c r="M187" i="1"/>
  <c r="O187" i="1" s="1"/>
  <c r="M186" i="1"/>
  <c r="O186" i="1" s="1"/>
  <c r="M185" i="1"/>
  <c r="O185" i="1" s="1"/>
  <c r="M184" i="1"/>
  <c r="O184" i="1" s="1"/>
  <c r="M183" i="1"/>
  <c r="O183" i="1" s="1"/>
  <c r="M182" i="1"/>
  <c r="O182" i="1" s="1"/>
  <c r="M181" i="1"/>
  <c r="O181" i="1" s="1"/>
  <c r="M180" i="1"/>
  <c r="O180" i="1" s="1"/>
  <c r="M179" i="1"/>
  <c r="O179" i="1" s="1"/>
  <c r="M178" i="1"/>
  <c r="O178" i="1" s="1"/>
  <c r="M177" i="1"/>
  <c r="O177" i="1" s="1"/>
  <c r="M176" i="1"/>
  <c r="O176" i="1" s="1"/>
  <c r="M175" i="1"/>
  <c r="O175" i="1" s="1"/>
  <c r="M174" i="1"/>
  <c r="O174" i="1" s="1"/>
  <c r="M173" i="1"/>
  <c r="O173" i="1" s="1"/>
  <c r="M172" i="1"/>
  <c r="O172" i="1" s="1"/>
  <c r="M171" i="1"/>
  <c r="O171" i="1" s="1"/>
  <c r="M170" i="1"/>
  <c r="O170" i="1" s="1"/>
  <c r="M169" i="1"/>
  <c r="O169" i="1" s="1"/>
  <c r="M168" i="1"/>
  <c r="O168" i="1" s="1"/>
  <c r="M167" i="1"/>
  <c r="O167" i="1" s="1"/>
  <c r="M166" i="1"/>
  <c r="O166" i="1" s="1"/>
  <c r="M165" i="1"/>
  <c r="O165" i="1" s="1"/>
  <c r="M164" i="1"/>
  <c r="O164" i="1" s="1"/>
  <c r="M163" i="1"/>
  <c r="O163" i="1" s="1"/>
  <c r="M162" i="1"/>
  <c r="O162" i="1" s="1"/>
  <c r="M161" i="1"/>
  <c r="O161" i="1" s="1"/>
  <c r="M160" i="1"/>
  <c r="O160" i="1" s="1"/>
  <c r="M159" i="1"/>
  <c r="O159" i="1" s="1"/>
  <c r="M158" i="1"/>
  <c r="O158" i="1" s="1"/>
  <c r="M157" i="1"/>
  <c r="O157" i="1" s="1"/>
  <c r="M156" i="1"/>
  <c r="O156" i="1" s="1"/>
  <c r="M155" i="1"/>
  <c r="O155" i="1" s="1"/>
  <c r="M154" i="1"/>
  <c r="O154" i="1" s="1"/>
  <c r="M153" i="1"/>
  <c r="O153" i="1" s="1"/>
  <c r="M152" i="1"/>
  <c r="O152" i="1" s="1"/>
  <c r="M151" i="1"/>
  <c r="O151" i="1" s="1"/>
  <c r="M150" i="1"/>
  <c r="O150" i="1" s="1"/>
  <c r="M149" i="1"/>
  <c r="O149" i="1" s="1"/>
  <c r="M148" i="1"/>
  <c r="O148" i="1" s="1"/>
  <c r="M147" i="1"/>
  <c r="O147" i="1" s="1"/>
  <c r="M146" i="1"/>
  <c r="O146" i="1" s="1"/>
  <c r="M145" i="1"/>
  <c r="O145" i="1" s="1"/>
  <c r="M144" i="1"/>
  <c r="O144" i="1" s="1"/>
  <c r="M143" i="1"/>
  <c r="O143" i="1" s="1"/>
  <c r="M142" i="1"/>
  <c r="O142" i="1" s="1"/>
  <c r="M141" i="1"/>
  <c r="O141" i="1" s="1"/>
  <c r="M140" i="1"/>
  <c r="O140" i="1" s="1"/>
  <c r="M139" i="1"/>
  <c r="O139" i="1" s="1"/>
  <c r="M138" i="1"/>
  <c r="O138" i="1" s="1"/>
  <c r="M137" i="1"/>
  <c r="O137" i="1" s="1"/>
  <c r="M136" i="1"/>
  <c r="O136" i="1" s="1"/>
  <c r="M135" i="1"/>
  <c r="O135" i="1" s="1"/>
  <c r="M134" i="1"/>
  <c r="O134" i="1" s="1"/>
  <c r="M133" i="1"/>
  <c r="O133" i="1" s="1"/>
  <c r="M132" i="1"/>
  <c r="O132" i="1" s="1"/>
  <c r="M131" i="1"/>
  <c r="O131" i="1" s="1"/>
  <c r="M130" i="1"/>
  <c r="O130" i="1" s="1"/>
  <c r="M129" i="1"/>
  <c r="O129" i="1" s="1"/>
  <c r="M128" i="1"/>
  <c r="O128" i="1" s="1"/>
  <c r="M127" i="1"/>
  <c r="O127" i="1" s="1"/>
  <c r="M126" i="1"/>
  <c r="O126" i="1" s="1"/>
  <c r="M125" i="1"/>
  <c r="O125" i="1" s="1"/>
  <c r="M124" i="1"/>
  <c r="O124" i="1" s="1"/>
  <c r="M123" i="1"/>
  <c r="O123" i="1" s="1"/>
  <c r="M122" i="1"/>
  <c r="O122" i="1" s="1"/>
  <c r="M121" i="1"/>
  <c r="O121" i="1" s="1"/>
  <c r="M120" i="1"/>
  <c r="O120" i="1" s="1"/>
  <c r="M119" i="1"/>
  <c r="O119" i="1" s="1"/>
  <c r="M118" i="1"/>
  <c r="O118" i="1" s="1"/>
  <c r="M117" i="1"/>
  <c r="O117" i="1" s="1"/>
  <c r="M116" i="1"/>
  <c r="O116" i="1" s="1"/>
  <c r="M115" i="1"/>
  <c r="O115" i="1" s="1"/>
  <c r="M114" i="1"/>
  <c r="O114" i="1" s="1"/>
  <c r="M113" i="1"/>
  <c r="O113" i="1" s="1"/>
  <c r="M112" i="1"/>
  <c r="O112" i="1" s="1"/>
  <c r="M111" i="1"/>
  <c r="O111" i="1" s="1"/>
  <c r="M110" i="1"/>
  <c r="O110" i="1" s="1"/>
  <c r="M109" i="1"/>
  <c r="O109" i="1" s="1"/>
  <c r="M108" i="1"/>
  <c r="O108" i="1" s="1"/>
  <c r="M107" i="1"/>
  <c r="O107" i="1" s="1"/>
  <c r="M106" i="1"/>
  <c r="O106" i="1" s="1"/>
  <c r="M105" i="1"/>
  <c r="O105" i="1" s="1"/>
  <c r="M104" i="1"/>
  <c r="O104" i="1" s="1"/>
  <c r="M103" i="1"/>
  <c r="O103" i="1" s="1"/>
  <c r="M102" i="1"/>
  <c r="O102" i="1" s="1"/>
  <c r="M101" i="1"/>
  <c r="O101" i="1" s="1"/>
  <c r="M100" i="1"/>
  <c r="O100" i="1" s="1"/>
  <c r="M99" i="1"/>
  <c r="O99" i="1" s="1"/>
  <c r="M98" i="1"/>
  <c r="O98" i="1" s="1"/>
  <c r="M97" i="1"/>
  <c r="O97" i="1" s="1"/>
  <c r="M96" i="1"/>
  <c r="O96" i="1" s="1"/>
  <c r="M95" i="1"/>
  <c r="O95" i="1" s="1"/>
  <c r="M94" i="1"/>
  <c r="O94" i="1" s="1"/>
  <c r="M93" i="1"/>
  <c r="O93" i="1" s="1"/>
  <c r="M92" i="1"/>
  <c r="O92" i="1" s="1"/>
  <c r="M91" i="1"/>
  <c r="O91" i="1" s="1"/>
  <c r="M90" i="1"/>
  <c r="O90" i="1" s="1"/>
  <c r="M89" i="1"/>
  <c r="O89" i="1" s="1"/>
  <c r="M88" i="1"/>
  <c r="O88" i="1" s="1"/>
  <c r="M87" i="1"/>
  <c r="O87" i="1" s="1"/>
  <c r="M86" i="1"/>
  <c r="O86" i="1" s="1"/>
  <c r="M85" i="1"/>
  <c r="O85" i="1" s="1"/>
  <c r="M84" i="1"/>
  <c r="O84" i="1" s="1"/>
  <c r="M83" i="1"/>
  <c r="O83" i="1" s="1"/>
  <c r="M82" i="1"/>
  <c r="O82" i="1" s="1"/>
  <c r="M81" i="1"/>
  <c r="O81" i="1" s="1"/>
  <c r="M80" i="1"/>
  <c r="O80" i="1" s="1"/>
  <c r="M79" i="1"/>
  <c r="O79" i="1" s="1"/>
  <c r="M78" i="1"/>
  <c r="O78" i="1" s="1"/>
  <c r="M77" i="1"/>
  <c r="O77" i="1" s="1"/>
  <c r="M76" i="1"/>
  <c r="O76" i="1" s="1"/>
  <c r="M75" i="1"/>
  <c r="O75" i="1" s="1"/>
  <c r="M74" i="1"/>
  <c r="O74" i="1" s="1"/>
  <c r="M73" i="1"/>
  <c r="O73" i="1" s="1"/>
  <c r="M72" i="1"/>
  <c r="O72" i="1" s="1"/>
  <c r="M71" i="1"/>
  <c r="O71" i="1" s="1"/>
  <c r="M70" i="1"/>
  <c r="O70" i="1" s="1"/>
  <c r="M69" i="1"/>
  <c r="O69" i="1" s="1"/>
  <c r="M68" i="1"/>
  <c r="O68" i="1" s="1"/>
  <c r="M67" i="1"/>
  <c r="O67" i="1" s="1"/>
  <c r="M66" i="1"/>
  <c r="O66" i="1" s="1"/>
  <c r="M65" i="1"/>
  <c r="O65" i="1" s="1"/>
  <c r="M64" i="1"/>
  <c r="O64" i="1" s="1"/>
  <c r="M63" i="1"/>
  <c r="O63" i="1" s="1"/>
  <c r="M62" i="1"/>
  <c r="O62" i="1" s="1"/>
  <c r="M61" i="1"/>
  <c r="O61" i="1" s="1"/>
  <c r="M60" i="1"/>
  <c r="O60" i="1" s="1"/>
  <c r="M59" i="1"/>
  <c r="O59" i="1" s="1"/>
  <c r="M58" i="1"/>
  <c r="O58" i="1" s="1"/>
  <c r="M57" i="1"/>
  <c r="O57" i="1" s="1"/>
  <c r="M56" i="1"/>
  <c r="O56" i="1" s="1"/>
  <c r="M55" i="1"/>
  <c r="O55" i="1" s="1"/>
  <c r="M54" i="1"/>
  <c r="O54" i="1" s="1"/>
  <c r="M53" i="1"/>
  <c r="O53" i="1" s="1"/>
  <c r="M52" i="1"/>
  <c r="O52" i="1" s="1"/>
  <c r="M51" i="1"/>
  <c r="O51" i="1" s="1"/>
  <c r="M50" i="1"/>
  <c r="O50" i="1" s="1"/>
  <c r="M49" i="1"/>
  <c r="O49" i="1" s="1"/>
  <c r="M48" i="1"/>
  <c r="O48" i="1" s="1"/>
  <c r="M47" i="1"/>
  <c r="O47" i="1" s="1"/>
  <c r="M46" i="1"/>
  <c r="O46" i="1" s="1"/>
  <c r="M45" i="1"/>
  <c r="O45" i="1" s="1"/>
  <c r="M44" i="1"/>
  <c r="O44" i="1" s="1"/>
  <c r="M43" i="1"/>
  <c r="O43" i="1" s="1"/>
  <c r="M42" i="1"/>
  <c r="O42" i="1" s="1"/>
  <c r="M41" i="1"/>
  <c r="O41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O34" i="1" s="1"/>
  <c r="M33" i="1"/>
  <c r="O33" i="1" s="1"/>
  <c r="M32" i="1"/>
  <c r="O32" i="1" s="1"/>
  <c r="M31" i="1"/>
  <c r="O31" i="1" s="1"/>
  <c r="M30" i="1"/>
  <c r="O30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M11" i="1"/>
  <c r="O11" i="1" s="1"/>
  <c r="M10" i="1"/>
  <c r="O10" i="1" s="1"/>
  <c r="M9" i="1"/>
  <c r="O9" i="1" s="1"/>
  <c r="O12" i="1" l="1"/>
  <c r="M323" i="1"/>
  <c r="O323" i="1"/>
</calcChain>
</file>

<file path=xl/sharedStrings.xml><?xml version="1.0" encoding="utf-8"?>
<sst xmlns="http://schemas.openxmlformats.org/spreadsheetml/2006/main" count="1000" uniqueCount="173">
  <si>
    <t>Магазин:_________________________________________</t>
  </si>
  <si>
    <t>АV11</t>
  </si>
  <si>
    <t>Водитель:__________________________________________</t>
  </si>
  <si>
    <t>Turcan Oleg</t>
  </si>
  <si>
    <t>Номер авто:_______________________________________</t>
  </si>
  <si>
    <t>Вид топлива:_______________________________________</t>
  </si>
  <si>
    <t>Benzina</t>
  </si>
  <si>
    <t>Модель транспорта Mercedes Sprinter 313</t>
  </si>
  <si>
    <t>Renault</t>
  </si>
  <si>
    <t>Дата</t>
  </si>
  <si>
    <t>№</t>
  </si>
  <si>
    <t>Откуда</t>
  </si>
  <si>
    <t>Куда</t>
  </si>
  <si>
    <t xml:space="preserve">Тип товара КБТ </t>
  </si>
  <si>
    <t>Тип товара МБТ</t>
  </si>
  <si>
    <t>Тип товара AV/IT</t>
  </si>
  <si>
    <t>пройденный километраж</t>
  </si>
  <si>
    <t>Расход топлива л/100км</t>
  </si>
  <si>
    <t>Итого потрачено литров топлива</t>
  </si>
  <si>
    <t>Стоимость 1л топлива</t>
  </si>
  <si>
    <t>итого затрат лей</t>
  </si>
  <si>
    <t>Доставка</t>
  </si>
  <si>
    <t>Город</t>
  </si>
  <si>
    <t>Пригород</t>
  </si>
  <si>
    <t>ПВЗ</t>
  </si>
  <si>
    <t>комент</t>
  </si>
  <si>
    <t>Холодильники =&gt;180cm</t>
  </si>
  <si>
    <t>Холодильники &lt;180cm</t>
  </si>
  <si>
    <t xml:space="preserve">Другое </t>
  </si>
  <si>
    <t xml:space="preserve">Телевизоры </t>
  </si>
  <si>
    <t>Другое</t>
  </si>
  <si>
    <t>Orhei</t>
  </si>
  <si>
    <t>frigider</t>
  </si>
  <si>
    <t>magazin</t>
  </si>
  <si>
    <t>mas de spal</t>
  </si>
  <si>
    <t>Criuleni s.Raculesti</t>
  </si>
  <si>
    <t>online</t>
  </si>
  <si>
    <t>b4</t>
  </si>
  <si>
    <t>cupt+arag</t>
  </si>
  <si>
    <t>mas de spal+uscator</t>
  </si>
  <si>
    <t>Dubasari s.Molovata</t>
  </si>
  <si>
    <t>climat</t>
  </si>
  <si>
    <t>Orhei s.Hijdieni</t>
  </si>
  <si>
    <t>service</t>
  </si>
  <si>
    <t>web</t>
  </si>
  <si>
    <t>Orhei s.Pelivan</t>
  </si>
  <si>
    <t>acc</t>
  </si>
  <si>
    <t>b7</t>
  </si>
  <si>
    <t xml:space="preserve">Orhei </t>
  </si>
  <si>
    <t>Orhei s.Breanova</t>
  </si>
  <si>
    <t>Dubasari s.Ustia</t>
  </si>
  <si>
    <t>Orhei s.Ivancea</t>
  </si>
  <si>
    <t>b2</t>
  </si>
  <si>
    <t>bosch</t>
  </si>
  <si>
    <t>Orhei s.Jora de Mijloc</t>
  </si>
  <si>
    <t>lada</t>
  </si>
  <si>
    <t>Orhei s.Step-Soci</t>
  </si>
  <si>
    <t>Telenesti s.Nucareni</t>
  </si>
  <si>
    <t>sport</t>
  </si>
  <si>
    <t>b3</t>
  </si>
  <si>
    <t>plita</t>
  </si>
  <si>
    <t>Orhei s.Peresecina</t>
  </si>
  <si>
    <t>Orhei s.Seliste</t>
  </si>
  <si>
    <t>cupt</t>
  </si>
  <si>
    <t>b1</t>
  </si>
  <si>
    <t>mas vesel</t>
  </si>
  <si>
    <t>Orhei s.Trebujeni</t>
  </si>
  <si>
    <t>Orhei s.Branesti</t>
  </si>
  <si>
    <t>Criuleni s.Mascauti</t>
  </si>
  <si>
    <t>Orhei s.Mitoc</t>
  </si>
  <si>
    <t>Orhei str.Negruzzi 91</t>
  </si>
  <si>
    <t>Orhei s.Susleni</t>
  </si>
  <si>
    <t>Criuleni s.Izbiste</t>
  </si>
  <si>
    <t>hota</t>
  </si>
  <si>
    <t>Orhei s.Piatra</t>
  </si>
  <si>
    <t>Criuleni s.Isnovat</t>
  </si>
  <si>
    <t>cong</t>
  </si>
  <si>
    <t>Orhei s.Viscauti</t>
  </si>
  <si>
    <t>Orhei s.Chiperceni</t>
  </si>
  <si>
    <t>Orhei s.Zorile</t>
  </si>
  <si>
    <t>Orhei s.Malaiesti</t>
  </si>
  <si>
    <t>Orhei s.Biesti</t>
  </si>
  <si>
    <t>uscator</t>
  </si>
  <si>
    <t>Telenesti s.Tintereni</t>
  </si>
  <si>
    <t>Telenesti s.Cazanesti</t>
  </si>
  <si>
    <t>boiler</t>
  </si>
  <si>
    <t>Orhei s.Mirzaci</t>
  </si>
  <si>
    <t>Orhei s.Jora de Sus</t>
  </si>
  <si>
    <t>Orhei s.Isacova</t>
  </si>
  <si>
    <t>Straseni s.Romanesti</t>
  </si>
  <si>
    <t>a2</t>
  </si>
  <si>
    <t>Straseni s.Radeni</t>
  </si>
  <si>
    <t>mwo</t>
  </si>
  <si>
    <t>Orhei s.Braviceni</t>
  </si>
  <si>
    <t>cupt+arag+mas vesela</t>
  </si>
  <si>
    <t>Orhei str.Fedco 58</t>
  </si>
  <si>
    <t>Telenesti s.Tirsitei</t>
  </si>
  <si>
    <t>Orhei s.Mana</t>
  </si>
  <si>
    <t>Итого</t>
  </si>
  <si>
    <t>din august</t>
  </si>
  <si>
    <t>a22</t>
  </si>
  <si>
    <t>Orhei s.Vorotet</t>
  </si>
  <si>
    <t>Orhei s.Clisova Veche</t>
  </si>
  <si>
    <t>Orhei s.Pohorniceni</t>
  </si>
  <si>
    <t>Uscator+mas de spal</t>
  </si>
  <si>
    <t>Orhei s.Vatici</t>
  </si>
  <si>
    <t>Orhei str.31august 2</t>
  </si>
  <si>
    <t>boxa</t>
  </si>
  <si>
    <t>Orhei s.Lopatna</t>
  </si>
  <si>
    <t>Straseni s.Zamciogi</t>
  </si>
  <si>
    <t>Orhei str.1 mai 28</t>
  </si>
  <si>
    <t>Orhei str.Biriucov 2</t>
  </si>
  <si>
    <t>Orhei str.Iachir 33b</t>
  </si>
  <si>
    <t>Orhei s.Unirii 150</t>
  </si>
  <si>
    <t>Orhei str.1mai 57/59</t>
  </si>
  <si>
    <t>Orhei str.Eminescu 15</t>
  </si>
  <si>
    <t>Orhei str.Iachir 23 a</t>
  </si>
  <si>
    <t>hota+arag+cupt</t>
  </si>
  <si>
    <t>Orhei s.Teleseu</t>
  </si>
  <si>
    <t>Orhei s.Cismea</t>
  </si>
  <si>
    <t>Orhei str.Burebista 7</t>
  </si>
  <si>
    <t>Orhei str.Glavan</t>
  </si>
  <si>
    <t>arag+mas de spal</t>
  </si>
  <si>
    <t>Orhei s.Pohrebeni</t>
  </si>
  <si>
    <t>Orhei s.Zagoreni</t>
  </si>
  <si>
    <t>Rezina s.Buseuca</t>
  </si>
  <si>
    <t>Orhei str.Costisei 32</t>
  </si>
  <si>
    <t>Orhei str.Sadoveanu 26</t>
  </si>
  <si>
    <t>printer</t>
  </si>
  <si>
    <t>Criuleni s.Hirtopul Mic</t>
  </si>
  <si>
    <t>Orhei str.31august 9</t>
  </si>
  <si>
    <t>Telenesti s.Codrul Nou</t>
  </si>
  <si>
    <t>Orhei s.Ocnita tarani</t>
  </si>
  <si>
    <t>Orhei s.Neculaeuca</t>
  </si>
  <si>
    <t>Orhei s.Fedoreuca</t>
  </si>
  <si>
    <t>Orhei str.Iachir 27</t>
  </si>
  <si>
    <t>cupt+mwo</t>
  </si>
  <si>
    <t>Orhei s.Cucuruzeni</t>
  </si>
  <si>
    <t>Orhei str.Unirii 130</t>
  </si>
  <si>
    <t>hota+plit</t>
  </si>
  <si>
    <t>Orhei str.1mai 15</t>
  </si>
  <si>
    <t>Orhei s.Sirota</t>
  </si>
  <si>
    <t>Orhei str.Magnolia 22</t>
  </si>
  <si>
    <t>nova</t>
  </si>
  <si>
    <t>Orhei s.Camencea</t>
  </si>
  <si>
    <t>cupt+cupt</t>
  </si>
  <si>
    <t>Orhei str.Iachir 9</t>
  </si>
  <si>
    <t>Orhei str. Negruzzi 91</t>
  </si>
  <si>
    <t>ciainic</t>
  </si>
  <si>
    <t>arag+cupt</t>
  </si>
  <si>
    <t>Orhei str.Norocului</t>
  </si>
  <si>
    <t>mas de vesel</t>
  </si>
  <si>
    <t>Orhei str.Izvorul Cucului 17</t>
  </si>
  <si>
    <t>Criuleni s.Stetcani</t>
  </si>
  <si>
    <t>Orhei str.Magnolia 4</t>
  </si>
  <si>
    <t>climat+uscator</t>
  </si>
  <si>
    <t>Orhei s.Furceni</t>
  </si>
  <si>
    <t>cupt+arag+hota+mas de spal</t>
  </si>
  <si>
    <t>Orhei str.Frunze 31</t>
  </si>
  <si>
    <t>Straseni s.Voinova</t>
  </si>
  <si>
    <t>Orhei str.Iachir 26</t>
  </si>
  <si>
    <t>Orhei str.Miorita 3</t>
  </si>
  <si>
    <t>Orhei str.Calarasi 18</t>
  </si>
  <si>
    <t>Orhei str.Sadoveanu 20</t>
  </si>
  <si>
    <t>Orhei s.Mascauti</t>
  </si>
  <si>
    <t>Orhei str.V.Lupu 15</t>
  </si>
  <si>
    <t>Orhei str.Salciilor 32</t>
  </si>
  <si>
    <t>arag+cuptmas de spal+uscator</t>
  </si>
  <si>
    <t>Orhei str.Unirii 132</t>
  </si>
  <si>
    <t>Orhei str.Salciilor 46</t>
  </si>
  <si>
    <t>lada frig</t>
  </si>
  <si>
    <t>Orhei str.Sadoveanu</t>
  </si>
  <si>
    <t xml:space="preserve">Orhei str.Nistreana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</si>
</sst>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164" fontId="3" fillId="0" borderId="9" xfId="1" applyNumberFormat="1" applyFont="1" applyFill="1" applyBorder="1" applyAlignment="1">
      <alignment horizontal="center" vertical="center" wrapText="1"/>
    </xf>
    <xf numFmtId="164" fontId="3" fillId="0" borderId="1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4" fontId="3" fillId="0" borderId="12" xfId="1" applyNumberFormat="1" applyFont="1" applyFill="1" applyBorder="1" applyAlignment="1">
      <alignment horizontal="center" vertical="center" wrapText="1"/>
    </xf>
    <xf numFmtId="164" fontId="3" fillId="0" borderId="14" xfId="1" applyNumberFormat="1" applyFont="1" applyFill="1" applyBorder="1" applyAlignment="1">
      <alignment horizontal="center" vertical="center" wrapText="1"/>
    </xf>
    <xf numFmtId="1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2" xfId="0" applyFont="1" applyBorder="1" applyAlignment="1">
      <alignment horizontal="center" vertical="center"/>
    </xf>
    <xf numFmtId="164" fontId="1" fillId="3" borderId="18" xfId="1" applyNumberFormat="1" applyFont="1" applyFill="1" applyBorder="1" applyAlignment="1">
      <alignment horizontal="center" vertical="center"/>
    </xf>
    <xf numFmtId="164" fontId="1" fillId="0" borderId="18" xfId="1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1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3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1" fillId="0" borderId="17" xfId="0" applyNumberFormat="1" applyFont="1" applyBorder="1" applyAlignment="1">
      <alignment horizontal="right" vertical="center"/>
    </xf>
    <xf numFmtId="14" fontId="1" fillId="0" borderId="17" xfId="0" applyNumberFormat="1" applyFont="1" applyBorder="1" applyAlignment="1">
      <alignment horizontal="left" vertical="center"/>
    </xf>
    <xf numFmtId="0" fontId="1" fillId="0" borderId="19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3"/>
  <sheetViews>
    <sheetView tabSelected="1" topLeftCell="A135" workbookViewId="0">
      <selection activeCell="K154" sqref="K154"/>
    </sheetView>
  </sheetViews>
  <sheetFormatPr defaultRowHeight="15" x14ac:dyDescent="0.25"/>
  <cols>
    <col min="1" max="1" width="11.7109375" customWidth="1"/>
    <col min="4" max="4" width="28.140625" customWidth="1"/>
    <col min="7" max="7" width="25.85546875" customWidth="1"/>
    <col min="8" max="8" width="13" customWidth="1"/>
    <col min="13" max="13" width="14.42578125" customWidth="1"/>
    <col min="15" max="15" width="18.7109375" customWidth="1"/>
    <col min="18" max="18" width="10.5703125" customWidth="1"/>
    <col min="20" max="20" width="12.42578125" customWidth="1"/>
  </cols>
  <sheetData>
    <row r="1" spans="1:20" x14ac:dyDescent="0.25">
      <c r="A1" s="1" t="s">
        <v>0</v>
      </c>
      <c r="B1" s="2"/>
      <c r="C1" t="s">
        <v>1</v>
      </c>
      <c r="K1" s="2"/>
      <c r="L1" s="2"/>
      <c r="M1" s="3"/>
      <c r="N1" s="3"/>
      <c r="O1" s="3"/>
      <c r="P1" s="2"/>
    </row>
    <row r="2" spans="1:20" x14ac:dyDescent="0.25">
      <c r="A2" s="1" t="s">
        <v>2</v>
      </c>
      <c r="B2" s="2"/>
      <c r="C2" t="s">
        <v>3</v>
      </c>
      <c r="K2" s="2"/>
      <c r="L2" s="2"/>
      <c r="M2" s="3"/>
      <c r="N2" s="3"/>
      <c r="O2" s="3"/>
      <c r="P2" s="2"/>
    </row>
    <row r="3" spans="1:20" x14ac:dyDescent="0.25">
      <c r="A3" s="1" t="s">
        <v>4</v>
      </c>
      <c r="B3" s="2"/>
      <c r="K3" s="2"/>
      <c r="L3" s="2"/>
      <c r="M3" s="3"/>
      <c r="N3" s="3"/>
      <c r="O3" s="3"/>
      <c r="P3" s="2"/>
    </row>
    <row r="4" spans="1:20" x14ac:dyDescent="0.25">
      <c r="A4" s="1" t="s">
        <v>5</v>
      </c>
      <c r="B4" s="2"/>
      <c r="C4" t="s">
        <v>6</v>
      </c>
      <c r="K4" s="2"/>
      <c r="L4" s="2"/>
      <c r="M4" s="3"/>
      <c r="N4" s="3"/>
      <c r="O4" s="3"/>
      <c r="P4" s="2"/>
    </row>
    <row r="5" spans="1:20" x14ac:dyDescent="0.25">
      <c r="A5" s="4" t="s">
        <v>7</v>
      </c>
      <c r="B5" s="5"/>
      <c r="C5" s="6" t="s">
        <v>8</v>
      </c>
      <c r="D5" s="6"/>
      <c r="K5" s="2"/>
      <c r="L5" s="2"/>
      <c r="M5" s="3"/>
      <c r="N5" s="3"/>
      <c r="O5" s="3"/>
      <c r="P5" s="2"/>
    </row>
    <row r="6" spans="1:20" ht="15.75" thickBot="1" x14ac:dyDescent="0.3">
      <c r="A6" s="1"/>
      <c r="B6" s="2"/>
      <c r="K6" s="2"/>
      <c r="L6" s="2"/>
      <c r="M6" s="3"/>
      <c r="N6" s="3"/>
      <c r="O6" s="3"/>
      <c r="P6" s="2"/>
    </row>
    <row r="7" spans="1:20" ht="75.75" thickBot="1" x14ac:dyDescent="0.3">
      <c r="A7" s="7" t="s">
        <v>9</v>
      </c>
      <c r="B7" s="8" t="s">
        <v>10</v>
      </c>
      <c r="C7" s="8" t="s">
        <v>11</v>
      </c>
      <c r="D7" s="9" t="s">
        <v>12</v>
      </c>
      <c r="E7" s="10" t="s">
        <v>13</v>
      </c>
      <c r="F7" s="11"/>
      <c r="G7" s="12"/>
      <c r="H7" s="13" t="s">
        <v>14</v>
      </c>
      <c r="I7" s="10" t="s">
        <v>15</v>
      </c>
      <c r="J7" s="12"/>
      <c r="K7" s="14" t="s">
        <v>16</v>
      </c>
      <c r="L7" s="15" t="s">
        <v>17</v>
      </c>
      <c r="M7" s="16" t="s">
        <v>18</v>
      </c>
      <c r="N7" s="16" t="s">
        <v>19</v>
      </c>
      <c r="O7" s="16" t="s">
        <v>20</v>
      </c>
      <c r="P7" s="17" t="s">
        <v>21</v>
      </c>
      <c r="Q7" s="18" t="s">
        <v>22</v>
      </c>
      <c r="R7" s="19" t="s">
        <v>23</v>
      </c>
      <c r="S7" s="19" t="s">
        <v>24</v>
      </c>
      <c r="T7" s="19" t="s">
        <v>25</v>
      </c>
    </row>
    <row r="8" spans="1:20" x14ac:dyDescent="0.25">
      <c r="A8" s="20"/>
      <c r="B8" s="21"/>
      <c r="C8" s="21"/>
      <c r="D8" s="22"/>
      <c r="E8" s="20" t="s">
        <v>26</v>
      </c>
      <c r="F8" s="21" t="s">
        <v>27</v>
      </c>
      <c r="G8" s="23" t="s">
        <v>28</v>
      </c>
      <c r="H8" s="24"/>
      <c r="I8" s="25" t="s">
        <v>29</v>
      </c>
      <c r="J8" s="23" t="s">
        <v>30</v>
      </c>
      <c r="K8" s="26"/>
      <c r="L8" s="27"/>
      <c r="M8" s="28"/>
      <c r="N8" s="28"/>
      <c r="O8" s="28"/>
      <c r="P8" s="29"/>
    </row>
    <row r="9" spans="1:20" x14ac:dyDescent="0.25">
      <c r="A9" s="30">
        <v>46266</v>
      </c>
      <c r="B9" s="31">
        <v>1</v>
      </c>
      <c r="C9" s="32" t="s">
        <v>31</v>
      </c>
      <c r="D9" s="33" t="s">
        <v>70</v>
      </c>
      <c r="E9" s="34" t="s">
        <v>32</v>
      </c>
      <c r="F9" s="35"/>
      <c r="G9" s="36"/>
      <c r="H9" s="37"/>
      <c r="I9" s="38"/>
      <c r="J9" s="36"/>
      <c r="K9" s="39">
        <v>8</v>
      </c>
      <c r="L9" s="31">
        <v>8</v>
      </c>
      <c r="M9" s="40">
        <f t="shared" ref="M9:M72" si="0">K9/100*L9</f>
        <v>0.64</v>
      </c>
      <c r="N9" s="41">
        <v>31.53</v>
      </c>
      <c r="O9" s="40">
        <f t="shared" ref="O9:O72" si="1">N9*M9</f>
        <v>20.179200000000002</v>
      </c>
      <c r="P9" s="42" t="s">
        <v>33</v>
      </c>
      <c r="Q9" t="s">
        <v>22</v>
      </c>
      <c r="T9" t="s">
        <v>99</v>
      </c>
    </row>
    <row r="10" spans="1:20" x14ac:dyDescent="0.25">
      <c r="A10" s="30">
        <v>46266</v>
      </c>
      <c r="B10" s="31">
        <v>2</v>
      </c>
      <c r="C10" s="32" t="s">
        <v>31</v>
      </c>
      <c r="D10" s="33" t="s">
        <v>91</v>
      </c>
      <c r="E10" s="34"/>
      <c r="F10" s="35"/>
      <c r="G10" s="36" t="s">
        <v>41</v>
      </c>
      <c r="H10" s="43"/>
      <c r="I10" s="38"/>
      <c r="J10" s="44"/>
      <c r="K10" s="39">
        <v>34</v>
      </c>
      <c r="L10" s="31">
        <v>8</v>
      </c>
      <c r="M10" s="40">
        <f t="shared" si="0"/>
        <v>2.72</v>
      </c>
      <c r="N10" s="41">
        <v>31.53</v>
      </c>
      <c r="O10" s="40">
        <f t="shared" si="1"/>
        <v>85.761600000000016</v>
      </c>
      <c r="P10" s="42" t="s">
        <v>36</v>
      </c>
      <c r="R10" t="s">
        <v>23</v>
      </c>
      <c r="S10" t="s">
        <v>100</v>
      </c>
      <c r="T10" t="s">
        <v>99</v>
      </c>
    </row>
    <row r="11" spans="1:20" x14ac:dyDescent="0.25">
      <c r="A11" s="30">
        <v>46266</v>
      </c>
      <c r="B11" s="31">
        <v>3</v>
      </c>
      <c r="C11" s="32" t="s">
        <v>31</v>
      </c>
      <c r="D11" s="33" t="s">
        <v>61</v>
      </c>
      <c r="E11" s="34"/>
      <c r="F11" s="32"/>
      <c r="G11" s="36"/>
      <c r="H11" s="43"/>
      <c r="I11" s="38">
        <v>43</v>
      </c>
      <c r="J11" s="36"/>
      <c r="K11" s="39">
        <v>40</v>
      </c>
      <c r="L11" s="31">
        <v>8</v>
      </c>
      <c r="M11" s="40">
        <f t="shared" si="0"/>
        <v>3.2</v>
      </c>
      <c r="N11" s="41">
        <v>31.53</v>
      </c>
      <c r="O11" s="40">
        <f t="shared" si="1"/>
        <v>100.89600000000002</v>
      </c>
      <c r="P11" s="42" t="s">
        <v>33</v>
      </c>
      <c r="R11" t="s">
        <v>23</v>
      </c>
      <c r="T11" t="s">
        <v>99</v>
      </c>
    </row>
    <row r="12" spans="1:20" x14ac:dyDescent="0.25">
      <c r="A12" s="30">
        <v>46266</v>
      </c>
      <c r="B12" s="31">
        <v>4</v>
      </c>
      <c r="C12" s="32" t="s">
        <v>31</v>
      </c>
      <c r="D12" s="33" t="s">
        <v>101</v>
      </c>
      <c r="E12" s="34" t="s">
        <v>32</v>
      </c>
      <c r="F12" s="32"/>
      <c r="G12" s="36"/>
      <c r="H12" s="37"/>
      <c r="I12" s="38"/>
      <c r="J12" s="44"/>
      <c r="K12" s="39">
        <v>40</v>
      </c>
      <c r="L12" s="31">
        <v>8</v>
      </c>
      <c r="M12" s="40">
        <f t="shared" si="0"/>
        <v>3.2</v>
      </c>
      <c r="N12" s="41">
        <v>31.53</v>
      </c>
      <c r="O12" s="40">
        <f t="shared" si="1"/>
        <v>100.89600000000002</v>
      </c>
      <c r="P12" s="42" t="s">
        <v>36</v>
      </c>
      <c r="R12" t="s">
        <v>23</v>
      </c>
      <c r="S12" t="s">
        <v>44</v>
      </c>
      <c r="T12" t="s">
        <v>99</v>
      </c>
    </row>
    <row r="13" spans="1:20" x14ac:dyDescent="0.25">
      <c r="A13" s="30">
        <v>46266</v>
      </c>
      <c r="B13" s="45">
        <v>5</v>
      </c>
      <c r="C13" s="46" t="s">
        <v>31</v>
      </c>
      <c r="D13" s="33" t="s">
        <v>87</v>
      </c>
      <c r="E13" s="34" t="s">
        <v>32</v>
      </c>
      <c r="F13" s="35"/>
      <c r="G13" s="36"/>
      <c r="H13" s="37"/>
      <c r="I13" s="38"/>
      <c r="J13" s="36"/>
      <c r="K13" s="45">
        <v>60</v>
      </c>
      <c r="L13" s="31">
        <v>8</v>
      </c>
      <c r="M13" s="40">
        <f t="shared" si="0"/>
        <v>4.8</v>
      </c>
      <c r="N13" s="41">
        <v>31.53</v>
      </c>
      <c r="O13" s="40">
        <f t="shared" si="1"/>
        <v>151.34399999999999</v>
      </c>
      <c r="P13" s="45" t="s">
        <v>33</v>
      </c>
      <c r="R13" t="s">
        <v>23</v>
      </c>
      <c r="T13" t="s">
        <v>99</v>
      </c>
    </row>
    <row r="14" spans="1:20" x14ac:dyDescent="0.25">
      <c r="A14" s="30">
        <v>46266</v>
      </c>
      <c r="B14" s="45">
        <v>6</v>
      </c>
      <c r="C14" s="46" t="s">
        <v>31</v>
      </c>
      <c r="D14" s="33" t="s">
        <v>71</v>
      </c>
      <c r="E14" s="34"/>
      <c r="F14" s="34"/>
      <c r="G14" s="36" t="s">
        <v>60</v>
      </c>
      <c r="H14" s="43"/>
      <c r="I14" s="38"/>
      <c r="J14" s="36"/>
      <c r="K14" s="45">
        <v>2</v>
      </c>
      <c r="L14" s="31">
        <v>8</v>
      </c>
      <c r="M14" s="40">
        <f t="shared" si="0"/>
        <v>0.16</v>
      </c>
      <c r="N14" s="41">
        <v>31.53</v>
      </c>
      <c r="O14" s="40">
        <f t="shared" si="1"/>
        <v>5.0448000000000004</v>
      </c>
      <c r="P14" s="45" t="s">
        <v>33</v>
      </c>
      <c r="R14" t="s">
        <v>23</v>
      </c>
      <c r="T14" t="s">
        <v>99</v>
      </c>
    </row>
    <row r="15" spans="1:20" x14ac:dyDescent="0.25">
      <c r="A15" s="30">
        <v>46266</v>
      </c>
      <c r="B15" s="45">
        <v>7</v>
      </c>
      <c r="C15" s="46" t="s">
        <v>31</v>
      </c>
      <c r="D15" s="46" t="s">
        <v>102</v>
      </c>
      <c r="E15" s="34"/>
      <c r="F15" s="32"/>
      <c r="G15" s="36" t="s">
        <v>55</v>
      </c>
      <c r="H15" s="37"/>
      <c r="I15" s="38"/>
      <c r="J15" s="44"/>
      <c r="K15" s="45">
        <v>65</v>
      </c>
      <c r="L15" s="31">
        <v>8</v>
      </c>
      <c r="M15" s="40">
        <f t="shared" si="0"/>
        <v>5.2</v>
      </c>
      <c r="N15" s="41">
        <v>31.53</v>
      </c>
      <c r="O15" s="40">
        <f t="shared" si="1"/>
        <v>163.95600000000002</v>
      </c>
      <c r="P15" s="45" t="s">
        <v>33</v>
      </c>
      <c r="R15" t="s">
        <v>23</v>
      </c>
      <c r="T15" t="s">
        <v>99</v>
      </c>
    </row>
    <row r="16" spans="1:20" x14ac:dyDescent="0.25">
      <c r="A16" s="30">
        <v>46266</v>
      </c>
      <c r="B16" s="45">
        <v>8</v>
      </c>
      <c r="C16" s="46" t="s">
        <v>31</v>
      </c>
      <c r="D16" s="46" t="s">
        <v>93</v>
      </c>
      <c r="E16" s="38" t="s">
        <v>32</v>
      </c>
      <c r="F16" s="35"/>
      <c r="G16" s="36"/>
      <c r="H16" s="43"/>
      <c r="I16" s="38"/>
      <c r="J16" s="36"/>
      <c r="K16" s="47">
        <v>10</v>
      </c>
      <c r="L16" s="31">
        <v>8</v>
      </c>
      <c r="M16" s="40">
        <f t="shared" si="0"/>
        <v>0.8</v>
      </c>
      <c r="N16" s="41">
        <v>31.53</v>
      </c>
      <c r="O16" s="40">
        <f t="shared" si="1"/>
        <v>25.224000000000004</v>
      </c>
      <c r="P16" s="45" t="s">
        <v>33</v>
      </c>
      <c r="R16" t="s">
        <v>23</v>
      </c>
      <c r="T16" t="s">
        <v>99</v>
      </c>
    </row>
    <row r="17" spans="1:20" x14ac:dyDescent="0.25">
      <c r="A17" s="30">
        <v>46266</v>
      </c>
      <c r="B17" s="45">
        <v>9</v>
      </c>
      <c r="C17" s="46" t="s">
        <v>31</v>
      </c>
      <c r="D17" s="46" t="s">
        <v>103</v>
      </c>
      <c r="E17" s="38" t="s">
        <v>32</v>
      </c>
      <c r="F17" s="32"/>
      <c r="G17" s="36"/>
      <c r="H17" s="43"/>
      <c r="I17" s="38"/>
      <c r="J17" s="44"/>
      <c r="K17" s="45">
        <v>15</v>
      </c>
      <c r="L17" s="31">
        <v>8</v>
      </c>
      <c r="M17" s="40">
        <f t="shared" si="0"/>
        <v>1.2</v>
      </c>
      <c r="N17" s="41">
        <v>31.53</v>
      </c>
      <c r="O17" s="40">
        <f t="shared" si="1"/>
        <v>37.835999999999999</v>
      </c>
      <c r="P17" s="45" t="s">
        <v>33</v>
      </c>
      <c r="R17" t="s">
        <v>23</v>
      </c>
      <c r="T17" t="s">
        <v>99</v>
      </c>
    </row>
    <row r="18" spans="1:20" x14ac:dyDescent="0.25">
      <c r="A18" s="30">
        <v>46266</v>
      </c>
      <c r="B18" s="45">
        <v>10</v>
      </c>
      <c r="C18" s="46" t="s">
        <v>31</v>
      </c>
      <c r="D18" s="46" t="s">
        <v>42</v>
      </c>
      <c r="E18" s="34"/>
      <c r="F18" s="35"/>
      <c r="G18" s="36" t="s">
        <v>34</v>
      </c>
      <c r="H18" s="43"/>
      <c r="I18" s="38"/>
      <c r="J18" s="44"/>
      <c r="K18" s="45">
        <v>17</v>
      </c>
      <c r="L18" s="31">
        <v>8</v>
      </c>
      <c r="M18" s="40">
        <f t="shared" si="0"/>
        <v>1.36</v>
      </c>
      <c r="N18" s="41">
        <v>31.53</v>
      </c>
      <c r="O18" s="40">
        <f t="shared" si="1"/>
        <v>42.880800000000008</v>
      </c>
      <c r="P18" s="45" t="s">
        <v>33</v>
      </c>
      <c r="R18" t="s">
        <v>23</v>
      </c>
      <c r="T18" t="s">
        <v>99</v>
      </c>
    </row>
    <row r="19" spans="1:20" x14ac:dyDescent="0.25">
      <c r="A19" s="30">
        <v>46267</v>
      </c>
      <c r="B19" s="45">
        <v>11</v>
      </c>
      <c r="C19" s="46" t="s">
        <v>31</v>
      </c>
      <c r="D19" s="46" t="s">
        <v>78</v>
      </c>
      <c r="E19" s="34" t="s">
        <v>32</v>
      </c>
      <c r="F19" s="32"/>
      <c r="G19" s="36"/>
      <c r="H19" s="43"/>
      <c r="I19" s="38"/>
      <c r="J19" s="36"/>
      <c r="K19" s="39">
        <v>48</v>
      </c>
      <c r="L19" s="31">
        <v>8</v>
      </c>
      <c r="M19" s="40">
        <f t="shared" si="0"/>
        <v>3.84</v>
      </c>
      <c r="N19" s="41">
        <v>31.53</v>
      </c>
      <c r="O19" s="40">
        <f t="shared" si="1"/>
        <v>121.0752</v>
      </c>
      <c r="P19" s="42" t="s">
        <v>36</v>
      </c>
      <c r="R19" t="s">
        <v>23</v>
      </c>
      <c r="S19" t="s">
        <v>100</v>
      </c>
      <c r="T19" t="s">
        <v>99</v>
      </c>
    </row>
    <row r="20" spans="1:20" x14ac:dyDescent="0.25">
      <c r="A20" s="30">
        <v>46267</v>
      </c>
      <c r="B20" s="45">
        <v>12</v>
      </c>
      <c r="C20" s="46" t="s">
        <v>31</v>
      </c>
      <c r="D20" s="33" t="s">
        <v>62</v>
      </c>
      <c r="E20" s="34" t="s">
        <v>32</v>
      </c>
      <c r="F20" s="32"/>
      <c r="G20" s="36"/>
      <c r="H20" s="37"/>
      <c r="I20" s="38"/>
      <c r="J20" s="44"/>
      <c r="K20" s="39">
        <v>14</v>
      </c>
      <c r="L20" s="31">
        <v>8</v>
      </c>
      <c r="M20" s="40">
        <f t="shared" si="0"/>
        <v>1.1200000000000001</v>
      </c>
      <c r="N20" s="41">
        <v>31.53</v>
      </c>
      <c r="O20" s="40">
        <f t="shared" si="1"/>
        <v>35.313600000000008</v>
      </c>
      <c r="P20" s="42" t="s">
        <v>33</v>
      </c>
      <c r="R20" t="s">
        <v>23</v>
      </c>
      <c r="T20" t="s">
        <v>99</v>
      </c>
    </row>
    <row r="21" spans="1:20" x14ac:dyDescent="0.25">
      <c r="A21" s="30">
        <v>46267</v>
      </c>
      <c r="B21" s="45">
        <v>13</v>
      </c>
      <c r="C21" s="46" t="s">
        <v>31</v>
      </c>
      <c r="D21" s="33" t="s">
        <v>80</v>
      </c>
      <c r="E21" s="34"/>
      <c r="F21" s="35"/>
      <c r="G21" s="36" t="s">
        <v>55</v>
      </c>
      <c r="H21" s="37"/>
      <c r="I21" s="38"/>
      <c r="J21" s="36"/>
      <c r="K21" s="45">
        <v>41</v>
      </c>
      <c r="L21" s="31">
        <v>8</v>
      </c>
      <c r="M21" s="40">
        <f t="shared" si="0"/>
        <v>3.28</v>
      </c>
      <c r="N21" s="41">
        <v>31.53</v>
      </c>
      <c r="O21" s="40">
        <f t="shared" si="1"/>
        <v>103.41839999999999</v>
      </c>
      <c r="P21" s="45" t="s">
        <v>33</v>
      </c>
      <c r="R21" t="s">
        <v>23</v>
      </c>
      <c r="T21" t="s">
        <v>99</v>
      </c>
    </row>
    <row r="22" spans="1:20" x14ac:dyDescent="0.25">
      <c r="A22" s="30">
        <v>46267</v>
      </c>
      <c r="B22" s="45">
        <v>14</v>
      </c>
      <c r="C22" s="46" t="s">
        <v>31</v>
      </c>
      <c r="D22" s="33" t="s">
        <v>69</v>
      </c>
      <c r="E22" s="34"/>
      <c r="F22" s="38"/>
      <c r="G22" s="36" t="s">
        <v>104</v>
      </c>
      <c r="H22" s="43"/>
      <c r="I22" s="38"/>
      <c r="J22" s="36"/>
      <c r="K22" s="45">
        <v>14</v>
      </c>
      <c r="L22" s="31">
        <v>8</v>
      </c>
      <c r="M22" s="40">
        <f t="shared" si="0"/>
        <v>1.1200000000000001</v>
      </c>
      <c r="N22" s="41">
        <v>31.53</v>
      </c>
      <c r="O22" s="40">
        <f t="shared" si="1"/>
        <v>35.313600000000008</v>
      </c>
      <c r="P22" s="45" t="s">
        <v>33</v>
      </c>
      <c r="R22" t="s">
        <v>23</v>
      </c>
      <c r="T22" t="s">
        <v>99</v>
      </c>
    </row>
    <row r="23" spans="1:20" x14ac:dyDescent="0.25">
      <c r="A23" s="30">
        <v>46267</v>
      </c>
      <c r="B23" s="45">
        <v>15</v>
      </c>
      <c r="C23" s="46" t="s">
        <v>31</v>
      </c>
      <c r="D23" s="46" t="s">
        <v>66</v>
      </c>
      <c r="E23" s="34"/>
      <c r="F23" s="32" t="s">
        <v>32</v>
      </c>
      <c r="G23" s="36"/>
      <c r="H23" s="37"/>
      <c r="I23" s="38"/>
      <c r="J23" s="44"/>
      <c r="K23" s="45">
        <v>60</v>
      </c>
      <c r="L23" s="31">
        <v>8</v>
      </c>
      <c r="M23" s="40">
        <f t="shared" si="0"/>
        <v>4.8</v>
      </c>
      <c r="N23" s="41">
        <v>31.53</v>
      </c>
      <c r="O23" s="40">
        <f t="shared" si="1"/>
        <v>151.34399999999999</v>
      </c>
      <c r="P23" s="45" t="s">
        <v>36</v>
      </c>
      <c r="R23" t="s">
        <v>23</v>
      </c>
      <c r="S23" t="s">
        <v>44</v>
      </c>
      <c r="T23" t="s">
        <v>99</v>
      </c>
    </row>
    <row r="24" spans="1:20" x14ac:dyDescent="0.25">
      <c r="A24" s="30">
        <v>46268</v>
      </c>
      <c r="B24" s="45">
        <v>16</v>
      </c>
      <c r="C24" s="46" t="s">
        <v>31</v>
      </c>
      <c r="D24" s="46" t="s">
        <v>80</v>
      </c>
      <c r="E24" s="38"/>
      <c r="F24" s="35"/>
      <c r="G24" s="36" t="s">
        <v>41</v>
      </c>
      <c r="H24" s="43"/>
      <c r="I24" s="38"/>
      <c r="J24" s="36"/>
      <c r="K24" s="47">
        <v>40</v>
      </c>
      <c r="L24" s="31">
        <v>8</v>
      </c>
      <c r="M24" s="40">
        <f t="shared" si="0"/>
        <v>3.2</v>
      </c>
      <c r="N24" s="41">
        <v>31.64</v>
      </c>
      <c r="O24" s="40">
        <f t="shared" si="1"/>
        <v>101.248</v>
      </c>
      <c r="P24" s="45" t="s">
        <v>33</v>
      </c>
      <c r="R24" t="s">
        <v>23</v>
      </c>
      <c r="T24" t="s">
        <v>99</v>
      </c>
    </row>
    <row r="25" spans="1:20" x14ac:dyDescent="0.25">
      <c r="A25" s="30">
        <v>46268</v>
      </c>
      <c r="B25" s="45">
        <v>17</v>
      </c>
      <c r="C25" s="46" t="s">
        <v>31</v>
      </c>
      <c r="D25" s="46" t="s">
        <v>105</v>
      </c>
      <c r="E25" s="38" t="s">
        <v>32</v>
      </c>
      <c r="F25" s="32"/>
      <c r="G25" s="36"/>
      <c r="H25" s="43"/>
      <c r="I25" s="38"/>
      <c r="J25" s="44"/>
      <c r="K25" s="45">
        <v>26</v>
      </c>
      <c r="L25" s="31">
        <v>8</v>
      </c>
      <c r="M25" s="40">
        <f t="shared" si="0"/>
        <v>2.08</v>
      </c>
      <c r="N25" s="41">
        <v>31.64</v>
      </c>
      <c r="O25" s="40">
        <f t="shared" si="1"/>
        <v>65.811199999999999</v>
      </c>
      <c r="P25" s="45" t="s">
        <v>33</v>
      </c>
      <c r="R25" t="s">
        <v>23</v>
      </c>
      <c r="T25" t="s">
        <v>99</v>
      </c>
    </row>
    <row r="26" spans="1:20" x14ac:dyDescent="0.25">
      <c r="A26" s="30">
        <v>46268</v>
      </c>
      <c r="B26" s="45">
        <v>18</v>
      </c>
      <c r="C26" s="46" t="s">
        <v>48</v>
      </c>
      <c r="D26" s="46" t="s">
        <v>93</v>
      </c>
      <c r="E26" s="34" t="s">
        <v>32</v>
      </c>
      <c r="F26" s="35"/>
      <c r="G26" s="36"/>
      <c r="H26" s="43"/>
      <c r="I26" s="38"/>
      <c r="J26" s="44"/>
      <c r="K26" s="45">
        <v>29</v>
      </c>
      <c r="L26" s="31">
        <v>8</v>
      </c>
      <c r="M26" s="40">
        <f t="shared" si="0"/>
        <v>2.3199999999999998</v>
      </c>
      <c r="N26" s="41">
        <v>31.64</v>
      </c>
      <c r="O26" s="40">
        <f t="shared" si="1"/>
        <v>73.404799999999994</v>
      </c>
      <c r="P26" s="45" t="s">
        <v>33</v>
      </c>
      <c r="R26" t="s">
        <v>23</v>
      </c>
      <c r="T26" t="s">
        <v>99</v>
      </c>
    </row>
    <row r="27" spans="1:20" x14ac:dyDescent="0.25">
      <c r="A27" s="30">
        <v>46268</v>
      </c>
      <c r="B27" s="45">
        <v>19</v>
      </c>
      <c r="C27" s="46" t="s">
        <v>31</v>
      </c>
      <c r="D27" s="46" t="s">
        <v>81</v>
      </c>
      <c r="E27" s="35"/>
      <c r="F27" s="32" t="s">
        <v>32</v>
      </c>
      <c r="G27" s="36"/>
      <c r="H27" s="37"/>
      <c r="I27" s="38"/>
      <c r="J27" s="44"/>
      <c r="K27" s="45">
        <v>41</v>
      </c>
      <c r="L27" s="31">
        <v>8</v>
      </c>
      <c r="M27" s="40">
        <f t="shared" si="0"/>
        <v>3.28</v>
      </c>
      <c r="N27" s="41">
        <v>31.64</v>
      </c>
      <c r="O27" s="40">
        <f t="shared" si="1"/>
        <v>103.77919999999999</v>
      </c>
      <c r="P27" s="45" t="s">
        <v>33</v>
      </c>
      <c r="R27" t="s">
        <v>23</v>
      </c>
      <c r="T27" t="s">
        <v>99</v>
      </c>
    </row>
    <row r="28" spans="1:20" x14ac:dyDescent="0.25">
      <c r="A28" s="30">
        <v>46268</v>
      </c>
      <c r="B28" s="45">
        <v>20</v>
      </c>
      <c r="C28" s="46" t="s">
        <v>31</v>
      </c>
      <c r="D28" s="46" t="s">
        <v>106</v>
      </c>
      <c r="E28" s="34"/>
      <c r="F28" s="35"/>
      <c r="G28" s="36"/>
      <c r="H28" s="37"/>
      <c r="I28" s="38"/>
      <c r="J28" s="36" t="s">
        <v>107</v>
      </c>
      <c r="K28" s="45">
        <v>8</v>
      </c>
      <c r="L28" s="31">
        <v>8</v>
      </c>
      <c r="M28" s="40">
        <f t="shared" si="0"/>
        <v>0.64</v>
      </c>
      <c r="N28" s="41">
        <v>31.64</v>
      </c>
      <c r="O28" s="40">
        <f t="shared" si="1"/>
        <v>20.249600000000001</v>
      </c>
      <c r="P28" s="45" t="s">
        <v>36</v>
      </c>
      <c r="Q28" t="s">
        <v>22</v>
      </c>
      <c r="S28" t="s">
        <v>44</v>
      </c>
    </row>
    <row r="29" spans="1:20" x14ac:dyDescent="0.25">
      <c r="A29" s="30">
        <v>46268</v>
      </c>
      <c r="B29" s="45">
        <v>21</v>
      </c>
      <c r="C29" s="46" t="s">
        <v>31</v>
      </c>
      <c r="D29" s="33" t="s">
        <v>108</v>
      </c>
      <c r="E29" s="34"/>
      <c r="F29" s="32"/>
      <c r="G29" s="36" t="s">
        <v>34</v>
      </c>
      <c r="H29" s="37"/>
      <c r="I29" s="38"/>
      <c r="J29" s="44"/>
      <c r="K29" s="45">
        <v>38</v>
      </c>
      <c r="L29" s="31">
        <v>8</v>
      </c>
      <c r="M29" s="40">
        <f t="shared" si="0"/>
        <v>3.04</v>
      </c>
      <c r="N29" s="41">
        <v>31.64</v>
      </c>
      <c r="O29" s="40">
        <f t="shared" si="1"/>
        <v>96.185600000000008</v>
      </c>
      <c r="P29" s="45" t="s">
        <v>33</v>
      </c>
      <c r="R29" t="s">
        <v>23</v>
      </c>
      <c r="S29" t="s">
        <v>44</v>
      </c>
    </row>
    <row r="30" spans="1:20" x14ac:dyDescent="0.25">
      <c r="A30" s="30">
        <v>46268</v>
      </c>
      <c r="B30" s="45">
        <v>22</v>
      </c>
      <c r="C30" s="46" t="s">
        <v>31</v>
      </c>
      <c r="D30" s="46" t="s">
        <v>86</v>
      </c>
      <c r="E30" s="34"/>
      <c r="F30" s="34"/>
      <c r="G30" s="36"/>
      <c r="H30" s="37"/>
      <c r="I30" s="38"/>
      <c r="J30" s="36" t="s">
        <v>107</v>
      </c>
      <c r="K30" s="45">
        <v>12</v>
      </c>
      <c r="L30" s="31">
        <v>8</v>
      </c>
      <c r="M30" s="40">
        <f t="shared" si="0"/>
        <v>0.96</v>
      </c>
      <c r="N30" s="41">
        <v>31.64</v>
      </c>
      <c r="O30" s="40">
        <f t="shared" si="1"/>
        <v>30.374399999999998</v>
      </c>
      <c r="P30" s="45" t="s">
        <v>36</v>
      </c>
      <c r="R30" t="s">
        <v>23</v>
      </c>
      <c r="S30" t="s">
        <v>44</v>
      </c>
    </row>
    <row r="31" spans="1:20" x14ac:dyDescent="0.25">
      <c r="A31" s="30">
        <v>46269</v>
      </c>
      <c r="B31" s="45">
        <v>23</v>
      </c>
      <c r="C31" s="46" t="s">
        <v>31</v>
      </c>
      <c r="D31" s="46" t="s">
        <v>109</v>
      </c>
      <c r="E31" s="34" t="s">
        <v>32</v>
      </c>
      <c r="F31" s="35" t="s">
        <v>32</v>
      </c>
      <c r="G31" s="36"/>
      <c r="H31" s="43"/>
      <c r="I31" s="38"/>
      <c r="J31" s="44"/>
      <c r="K31" s="45">
        <v>30</v>
      </c>
      <c r="L31" s="31">
        <v>8</v>
      </c>
      <c r="M31" s="40">
        <f t="shared" si="0"/>
        <v>2.4</v>
      </c>
      <c r="N31" s="41">
        <v>31.64</v>
      </c>
      <c r="O31" s="40">
        <f t="shared" si="1"/>
        <v>75.935999999999993</v>
      </c>
      <c r="P31" s="45" t="s">
        <v>36</v>
      </c>
      <c r="R31" t="s">
        <v>23</v>
      </c>
      <c r="S31" t="s">
        <v>64</v>
      </c>
    </row>
    <row r="32" spans="1:20" x14ac:dyDescent="0.25">
      <c r="A32" s="30">
        <v>46269</v>
      </c>
      <c r="B32" s="45">
        <v>24</v>
      </c>
      <c r="C32" s="46" t="s">
        <v>31</v>
      </c>
      <c r="D32" s="46" t="s">
        <v>61</v>
      </c>
      <c r="E32" s="34"/>
      <c r="F32" s="35"/>
      <c r="G32" s="36"/>
      <c r="H32" s="43"/>
      <c r="I32" s="38"/>
      <c r="J32" s="36" t="s">
        <v>58</v>
      </c>
      <c r="K32" s="47">
        <v>18</v>
      </c>
      <c r="L32" s="31">
        <v>8</v>
      </c>
      <c r="M32" s="40">
        <f t="shared" si="0"/>
        <v>1.44</v>
      </c>
      <c r="N32" s="41">
        <v>31.64</v>
      </c>
      <c r="O32" s="40">
        <f t="shared" si="1"/>
        <v>45.561599999999999</v>
      </c>
      <c r="P32" s="45" t="s">
        <v>36</v>
      </c>
      <c r="R32" t="s">
        <v>23</v>
      </c>
      <c r="S32" t="s">
        <v>44</v>
      </c>
    </row>
    <row r="33" spans="1:20" x14ac:dyDescent="0.25">
      <c r="A33" s="30">
        <v>46269</v>
      </c>
      <c r="B33" s="45">
        <v>25</v>
      </c>
      <c r="C33" s="46" t="s">
        <v>31</v>
      </c>
      <c r="D33" s="33" t="s">
        <v>110</v>
      </c>
      <c r="E33" s="35"/>
      <c r="F33" s="32"/>
      <c r="G33" s="36" t="s">
        <v>82</v>
      </c>
      <c r="H33" s="43"/>
      <c r="I33" s="38"/>
      <c r="J33" s="44"/>
      <c r="K33" s="45">
        <v>3</v>
      </c>
      <c r="L33" s="31">
        <v>8</v>
      </c>
      <c r="M33" s="40">
        <f t="shared" si="0"/>
        <v>0.24</v>
      </c>
      <c r="N33" s="41">
        <v>31.64</v>
      </c>
      <c r="O33" s="40">
        <f t="shared" si="1"/>
        <v>7.5935999999999995</v>
      </c>
      <c r="P33" s="45" t="s">
        <v>33</v>
      </c>
      <c r="Q33" t="s">
        <v>22</v>
      </c>
    </row>
    <row r="34" spans="1:20" x14ac:dyDescent="0.25">
      <c r="A34" s="30">
        <v>46269</v>
      </c>
      <c r="B34" s="45">
        <v>26</v>
      </c>
      <c r="C34" s="46" t="s">
        <v>48</v>
      </c>
      <c r="D34" s="46" t="s">
        <v>62</v>
      </c>
      <c r="E34" s="35" t="s">
        <v>32</v>
      </c>
      <c r="F34" s="35"/>
      <c r="G34" s="36"/>
      <c r="H34" s="37"/>
      <c r="I34" s="38"/>
      <c r="J34" s="44"/>
      <c r="K34" s="45">
        <v>15</v>
      </c>
      <c r="L34" s="31">
        <v>8</v>
      </c>
      <c r="M34" s="40">
        <f t="shared" si="0"/>
        <v>1.2</v>
      </c>
      <c r="N34" s="41">
        <v>31.64</v>
      </c>
      <c r="O34" s="40">
        <f t="shared" si="1"/>
        <v>37.967999999999996</v>
      </c>
      <c r="P34" s="45" t="s">
        <v>33</v>
      </c>
      <c r="R34" t="s">
        <v>23</v>
      </c>
    </row>
    <row r="35" spans="1:20" x14ac:dyDescent="0.25">
      <c r="A35" s="30">
        <v>46269</v>
      </c>
      <c r="B35" s="45">
        <v>27</v>
      </c>
      <c r="C35" s="46" t="s">
        <v>48</v>
      </c>
      <c r="D35" s="33" t="s">
        <v>111</v>
      </c>
      <c r="E35" s="34"/>
      <c r="F35" s="35"/>
      <c r="G35" s="36"/>
      <c r="H35" s="37"/>
      <c r="I35" s="38"/>
      <c r="J35" s="44" t="s">
        <v>58</v>
      </c>
      <c r="K35" s="45">
        <v>5</v>
      </c>
      <c r="L35" s="31">
        <v>8</v>
      </c>
      <c r="M35" s="40">
        <f t="shared" si="0"/>
        <v>0.4</v>
      </c>
      <c r="N35" s="41">
        <v>31.64</v>
      </c>
      <c r="O35" s="40">
        <f t="shared" si="1"/>
        <v>12.656000000000001</v>
      </c>
      <c r="P35" s="45" t="s">
        <v>36</v>
      </c>
      <c r="Q35" t="s">
        <v>22</v>
      </c>
      <c r="S35" t="s">
        <v>44</v>
      </c>
    </row>
    <row r="36" spans="1:20" x14ac:dyDescent="0.25">
      <c r="A36" s="30">
        <v>46269</v>
      </c>
      <c r="B36" s="45">
        <v>28</v>
      </c>
      <c r="C36" s="46" t="s">
        <v>31</v>
      </c>
      <c r="D36" s="46" t="s">
        <v>112</v>
      </c>
      <c r="E36" s="34"/>
      <c r="F36" s="32"/>
      <c r="G36" s="36"/>
      <c r="H36" s="43"/>
      <c r="I36" s="38"/>
      <c r="J36" s="44" t="s">
        <v>58</v>
      </c>
      <c r="K36" s="45">
        <v>3</v>
      </c>
      <c r="L36" s="31">
        <v>8</v>
      </c>
      <c r="M36" s="40">
        <f t="shared" si="0"/>
        <v>0.24</v>
      </c>
      <c r="N36" s="41">
        <v>31.64</v>
      </c>
      <c r="O36" s="40">
        <f t="shared" si="1"/>
        <v>7.5935999999999995</v>
      </c>
      <c r="P36" s="45" t="s">
        <v>36</v>
      </c>
      <c r="Q36" t="s">
        <v>22</v>
      </c>
      <c r="S36" t="s">
        <v>44</v>
      </c>
    </row>
    <row r="37" spans="1:20" x14ac:dyDescent="0.25">
      <c r="A37" s="30">
        <v>46270</v>
      </c>
      <c r="B37" s="45">
        <v>29</v>
      </c>
      <c r="C37" s="46" t="s">
        <v>31</v>
      </c>
      <c r="D37" s="46" t="s">
        <v>95</v>
      </c>
      <c r="E37" s="34"/>
      <c r="F37" s="35"/>
      <c r="G37" s="36" t="s">
        <v>34</v>
      </c>
      <c r="H37" s="43"/>
      <c r="I37" s="38"/>
      <c r="J37" s="44"/>
      <c r="K37" s="45">
        <v>6</v>
      </c>
      <c r="L37" s="31">
        <v>8</v>
      </c>
      <c r="M37" s="40">
        <f t="shared" si="0"/>
        <v>0.48</v>
      </c>
      <c r="N37" s="41">
        <v>31.96</v>
      </c>
      <c r="O37" s="40">
        <f t="shared" si="1"/>
        <v>15.3408</v>
      </c>
      <c r="P37" s="45" t="s">
        <v>33</v>
      </c>
      <c r="Q37" t="s">
        <v>22</v>
      </c>
    </row>
    <row r="38" spans="1:20" x14ac:dyDescent="0.25">
      <c r="A38" s="30">
        <v>46270</v>
      </c>
      <c r="B38" s="45">
        <v>30</v>
      </c>
      <c r="C38" s="46" t="s">
        <v>31</v>
      </c>
      <c r="D38" s="46" t="s">
        <v>113</v>
      </c>
      <c r="E38" s="34" t="s">
        <v>32</v>
      </c>
      <c r="F38" s="35"/>
      <c r="G38" s="36"/>
      <c r="H38" s="37"/>
      <c r="I38" s="38"/>
      <c r="J38" s="44"/>
      <c r="K38" s="45">
        <v>4</v>
      </c>
      <c r="L38" s="31">
        <v>8</v>
      </c>
      <c r="M38" s="40">
        <f t="shared" si="0"/>
        <v>0.32</v>
      </c>
      <c r="N38" s="41">
        <v>31.96</v>
      </c>
      <c r="O38" s="40">
        <f t="shared" si="1"/>
        <v>10.2272</v>
      </c>
      <c r="P38" s="45" t="s">
        <v>33</v>
      </c>
      <c r="Q38" t="s">
        <v>22</v>
      </c>
    </row>
    <row r="39" spans="1:20" x14ac:dyDescent="0.25">
      <c r="A39" s="30">
        <v>46270</v>
      </c>
      <c r="B39" s="45">
        <v>31</v>
      </c>
      <c r="C39" s="46" t="s">
        <v>31</v>
      </c>
      <c r="D39" s="46" t="s">
        <v>114</v>
      </c>
      <c r="E39" s="34"/>
      <c r="F39" s="35"/>
      <c r="G39" s="36" t="s">
        <v>34</v>
      </c>
      <c r="H39" s="43"/>
      <c r="I39" s="38"/>
      <c r="J39" s="44"/>
      <c r="K39" s="45">
        <v>2</v>
      </c>
      <c r="L39" s="31">
        <v>8</v>
      </c>
      <c r="M39" s="40">
        <f t="shared" si="0"/>
        <v>0.16</v>
      </c>
      <c r="N39" s="41">
        <v>31.96</v>
      </c>
      <c r="O39" s="40">
        <f t="shared" si="1"/>
        <v>5.1135999999999999</v>
      </c>
      <c r="P39" s="45" t="s">
        <v>33</v>
      </c>
      <c r="Q39" t="s">
        <v>22</v>
      </c>
    </row>
    <row r="40" spans="1:20" x14ac:dyDescent="0.25">
      <c r="A40" s="30">
        <v>46270</v>
      </c>
      <c r="B40" s="45">
        <v>32</v>
      </c>
      <c r="C40" s="46" t="s">
        <v>48</v>
      </c>
      <c r="D40" s="46" t="s">
        <v>115</v>
      </c>
      <c r="E40" s="34"/>
      <c r="F40" s="35"/>
      <c r="G40" s="36" t="s">
        <v>73</v>
      </c>
      <c r="H40" s="37"/>
      <c r="I40" s="38"/>
      <c r="J40" s="44"/>
      <c r="K40" s="45">
        <v>1</v>
      </c>
      <c r="L40" s="31">
        <v>8</v>
      </c>
      <c r="M40" s="40">
        <f t="shared" si="0"/>
        <v>0.08</v>
      </c>
      <c r="N40" s="41">
        <v>31.96</v>
      </c>
      <c r="O40" s="40">
        <f t="shared" si="1"/>
        <v>2.5568</v>
      </c>
      <c r="P40" s="45" t="s">
        <v>33</v>
      </c>
      <c r="Q40" t="s">
        <v>22</v>
      </c>
    </row>
    <row r="41" spans="1:20" x14ac:dyDescent="0.25">
      <c r="A41" s="30">
        <v>46271</v>
      </c>
      <c r="B41" s="45">
        <v>33</v>
      </c>
      <c r="C41" s="46" t="s">
        <v>31</v>
      </c>
      <c r="D41" s="46" t="s">
        <v>116</v>
      </c>
      <c r="E41" s="38"/>
      <c r="F41" s="35"/>
      <c r="G41" s="36" t="s">
        <v>117</v>
      </c>
      <c r="H41" s="43" t="s">
        <v>92</v>
      </c>
      <c r="I41" s="38"/>
      <c r="J41" s="44"/>
      <c r="K41" s="45">
        <v>6</v>
      </c>
      <c r="L41" s="31">
        <v>8</v>
      </c>
      <c r="M41" s="40">
        <f t="shared" si="0"/>
        <v>0.48</v>
      </c>
      <c r="N41" s="41">
        <v>31.96</v>
      </c>
      <c r="O41" s="40">
        <f t="shared" si="1"/>
        <v>15.3408</v>
      </c>
      <c r="P41" s="45" t="s">
        <v>33</v>
      </c>
      <c r="Q41" t="s">
        <v>22</v>
      </c>
    </row>
    <row r="42" spans="1:20" x14ac:dyDescent="0.25">
      <c r="A42" s="30">
        <v>46271</v>
      </c>
      <c r="B42" s="45">
        <v>34</v>
      </c>
      <c r="C42" s="46" t="s">
        <v>31</v>
      </c>
      <c r="D42" s="46" t="s">
        <v>93</v>
      </c>
      <c r="E42" s="34"/>
      <c r="F42" s="35"/>
      <c r="G42" s="36"/>
      <c r="H42" s="37"/>
      <c r="I42" s="38"/>
      <c r="J42" s="44" t="s">
        <v>58</v>
      </c>
      <c r="K42" s="45">
        <v>30</v>
      </c>
      <c r="L42" s="31">
        <v>8</v>
      </c>
      <c r="M42" s="40">
        <f t="shared" si="0"/>
        <v>2.4</v>
      </c>
      <c r="N42" s="41">
        <v>31.96</v>
      </c>
      <c r="O42" s="40">
        <f t="shared" si="1"/>
        <v>76.703999999999994</v>
      </c>
      <c r="P42" s="45" t="s">
        <v>36</v>
      </c>
      <c r="R42" t="s">
        <v>23</v>
      </c>
      <c r="S42" t="s">
        <v>44</v>
      </c>
      <c r="T42" t="s">
        <v>99</v>
      </c>
    </row>
    <row r="43" spans="1:20" x14ac:dyDescent="0.25">
      <c r="A43" s="30">
        <v>46271</v>
      </c>
      <c r="B43" s="48">
        <v>35</v>
      </c>
      <c r="C43" s="32" t="s">
        <v>31</v>
      </c>
      <c r="D43" s="46" t="s">
        <v>45</v>
      </c>
      <c r="E43" s="34"/>
      <c r="F43" s="35"/>
      <c r="G43" s="36"/>
      <c r="H43" s="37"/>
      <c r="I43" s="38">
        <v>50</v>
      </c>
      <c r="J43" s="44"/>
      <c r="K43" s="45">
        <v>1</v>
      </c>
      <c r="L43" s="31">
        <v>8</v>
      </c>
      <c r="M43" s="40">
        <f t="shared" si="0"/>
        <v>0.08</v>
      </c>
      <c r="N43" s="41">
        <v>31.96</v>
      </c>
      <c r="O43" s="40">
        <f t="shared" si="1"/>
        <v>2.5568</v>
      </c>
      <c r="P43" s="45" t="s">
        <v>36</v>
      </c>
      <c r="R43" t="s">
        <v>23</v>
      </c>
      <c r="S43" t="s">
        <v>44</v>
      </c>
    </row>
    <row r="44" spans="1:20" x14ac:dyDescent="0.25">
      <c r="A44" s="30">
        <v>46271</v>
      </c>
      <c r="B44" s="48">
        <v>36</v>
      </c>
      <c r="C44" s="32" t="s">
        <v>31</v>
      </c>
      <c r="D44" s="46" t="s">
        <v>79</v>
      </c>
      <c r="E44" s="38" t="s">
        <v>32</v>
      </c>
      <c r="F44" s="35"/>
      <c r="G44" s="36"/>
      <c r="H44" s="43"/>
      <c r="I44" s="38"/>
      <c r="J44" s="44"/>
      <c r="K44" s="45">
        <v>8</v>
      </c>
      <c r="L44" s="31">
        <v>8</v>
      </c>
      <c r="M44" s="40">
        <f t="shared" si="0"/>
        <v>0.64</v>
      </c>
      <c r="N44" s="41">
        <v>31.96</v>
      </c>
      <c r="O44" s="40">
        <f t="shared" si="1"/>
        <v>20.4544</v>
      </c>
      <c r="P44" s="45" t="s">
        <v>33</v>
      </c>
      <c r="R44" t="s">
        <v>23</v>
      </c>
    </row>
    <row r="45" spans="1:20" x14ac:dyDescent="0.25">
      <c r="A45" s="30">
        <v>46271</v>
      </c>
      <c r="B45" s="48">
        <v>37</v>
      </c>
      <c r="C45" s="32" t="s">
        <v>31</v>
      </c>
      <c r="D45" s="46" t="s">
        <v>45</v>
      </c>
      <c r="E45" s="34"/>
      <c r="F45" s="35"/>
      <c r="G45" s="36" t="s">
        <v>34</v>
      </c>
      <c r="H45" s="37"/>
      <c r="I45" s="38"/>
      <c r="J45" s="44"/>
      <c r="K45" s="45">
        <v>1</v>
      </c>
      <c r="L45" s="31">
        <v>8</v>
      </c>
      <c r="M45" s="40">
        <f t="shared" si="0"/>
        <v>0.08</v>
      </c>
      <c r="N45" s="41">
        <v>31.96</v>
      </c>
      <c r="O45" s="40">
        <f t="shared" si="1"/>
        <v>2.5568</v>
      </c>
      <c r="P45" s="45" t="s">
        <v>33</v>
      </c>
      <c r="R45" t="s">
        <v>23</v>
      </c>
    </row>
    <row r="46" spans="1:20" x14ac:dyDescent="0.25">
      <c r="A46" s="30">
        <v>46272</v>
      </c>
      <c r="B46" s="48">
        <v>38</v>
      </c>
      <c r="C46" s="32" t="s">
        <v>31</v>
      </c>
      <c r="D46" s="46" t="s">
        <v>118</v>
      </c>
      <c r="E46" s="34" t="s">
        <v>32</v>
      </c>
      <c r="F46" s="35"/>
      <c r="G46" s="36"/>
      <c r="H46" s="37"/>
      <c r="I46" s="38"/>
      <c r="J46" s="44"/>
      <c r="K46" s="45">
        <v>21</v>
      </c>
      <c r="L46" s="31">
        <v>8</v>
      </c>
      <c r="M46" s="40">
        <f t="shared" si="0"/>
        <v>1.68</v>
      </c>
      <c r="N46" s="41">
        <v>31.96</v>
      </c>
      <c r="O46" s="40">
        <f t="shared" si="1"/>
        <v>53.692799999999998</v>
      </c>
      <c r="P46" s="45" t="s">
        <v>36</v>
      </c>
      <c r="R46" t="s">
        <v>23</v>
      </c>
      <c r="S46" t="s">
        <v>37</v>
      </c>
    </row>
    <row r="47" spans="1:20" x14ac:dyDescent="0.25">
      <c r="A47" s="30">
        <v>46272</v>
      </c>
      <c r="B47" s="48">
        <v>39</v>
      </c>
      <c r="C47" s="32" t="s">
        <v>31</v>
      </c>
      <c r="D47" s="46" t="s">
        <v>51</v>
      </c>
      <c r="E47" s="38"/>
      <c r="F47" s="35"/>
      <c r="G47" s="36" t="s">
        <v>82</v>
      </c>
      <c r="H47" s="43"/>
      <c r="I47" s="38"/>
      <c r="J47" s="44"/>
      <c r="K47" s="45">
        <v>21</v>
      </c>
      <c r="L47" s="31">
        <v>8</v>
      </c>
      <c r="M47" s="40">
        <f t="shared" si="0"/>
        <v>1.68</v>
      </c>
      <c r="N47" s="41">
        <v>31.96</v>
      </c>
      <c r="O47" s="40">
        <f t="shared" si="1"/>
        <v>53.692799999999998</v>
      </c>
      <c r="P47" s="45" t="s">
        <v>36</v>
      </c>
      <c r="R47" t="s">
        <v>23</v>
      </c>
      <c r="S47" t="s">
        <v>44</v>
      </c>
    </row>
    <row r="48" spans="1:20" x14ac:dyDescent="0.25">
      <c r="A48" s="30">
        <v>46272</v>
      </c>
      <c r="B48" s="48">
        <v>40</v>
      </c>
      <c r="C48" s="32" t="s">
        <v>31</v>
      </c>
      <c r="D48" s="46" t="s">
        <v>119</v>
      </c>
      <c r="E48" s="34" t="s">
        <v>32</v>
      </c>
      <c r="F48" s="35"/>
      <c r="G48" s="36"/>
      <c r="H48" s="37"/>
      <c r="I48" s="38"/>
      <c r="J48" s="44"/>
      <c r="K48" s="45">
        <v>20</v>
      </c>
      <c r="L48" s="31">
        <v>8</v>
      </c>
      <c r="M48" s="40">
        <f t="shared" si="0"/>
        <v>1.6</v>
      </c>
      <c r="N48" s="41">
        <v>31.96</v>
      </c>
      <c r="O48" s="40">
        <f t="shared" si="1"/>
        <v>51.136000000000003</v>
      </c>
      <c r="P48" s="45" t="s">
        <v>43</v>
      </c>
      <c r="R48" t="s">
        <v>23</v>
      </c>
    </row>
    <row r="49" spans="1:19" x14ac:dyDescent="0.25">
      <c r="A49" s="30">
        <v>46273</v>
      </c>
      <c r="B49" s="48">
        <v>41</v>
      </c>
      <c r="C49" s="32" t="s">
        <v>31</v>
      </c>
      <c r="D49" s="33" t="s">
        <v>40</v>
      </c>
      <c r="E49" s="35" t="s">
        <v>32</v>
      </c>
      <c r="F49" s="35"/>
      <c r="G49" s="36"/>
      <c r="H49" s="43"/>
      <c r="I49" s="38"/>
      <c r="J49" s="44"/>
      <c r="K49" s="45">
        <v>70</v>
      </c>
      <c r="L49" s="31">
        <v>8</v>
      </c>
      <c r="M49" s="40">
        <f t="shared" si="0"/>
        <v>5.6</v>
      </c>
      <c r="N49" s="41">
        <v>31.96</v>
      </c>
      <c r="O49" s="40">
        <f t="shared" si="1"/>
        <v>178.976</v>
      </c>
      <c r="P49" s="45" t="s">
        <v>36</v>
      </c>
      <c r="R49" t="s">
        <v>23</v>
      </c>
      <c r="S49" t="s">
        <v>64</v>
      </c>
    </row>
    <row r="50" spans="1:19" x14ac:dyDescent="0.25">
      <c r="A50" s="30">
        <v>46273</v>
      </c>
      <c r="B50" s="48">
        <v>42</v>
      </c>
      <c r="C50" s="32" t="s">
        <v>31</v>
      </c>
      <c r="D50" s="46" t="s">
        <v>120</v>
      </c>
      <c r="E50" s="34" t="s">
        <v>32</v>
      </c>
      <c r="F50" s="35"/>
      <c r="G50" s="36"/>
      <c r="H50" s="37"/>
      <c r="I50" s="38"/>
      <c r="J50" s="36"/>
      <c r="K50" s="45">
        <v>8</v>
      </c>
      <c r="L50" s="31">
        <v>8</v>
      </c>
      <c r="M50" s="40">
        <f t="shared" si="0"/>
        <v>0.64</v>
      </c>
      <c r="N50" s="41">
        <v>31.96</v>
      </c>
      <c r="O50" s="40">
        <f t="shared" si="1"/>
        <v>20.4544</v>
      </c>
      <c r="P50" s="45" t="s">
        <v>33</v>
      </c>
      <c r="Q50" t="s">
        <v>22</v>
      </c>
    </row>
    <row r="51" spans="1:19" x14ac:dyDescent="0.25">
      <c r="A51" s="30">
        <v>46273</v>
      </c>
      <c r="B51" s="48">
        <v>43</v>
      </c>
      <c r="C51" s="32" t="s">
        <v>31</v>
      </c>
      <c r="D51" s="46" t="s">
        <v>121</v>
      </c>
      <c r="E51" s="34"/>
      <c r="F51" s="35" t="s">
        <v>32</v>
      </c>
      <c r="G51" s="36"/>
      <c r="H51" s="43"/>
      <c r="I51" s="38"/>
      <c r="J51" s="44"/>
      <c r="K51" s="45">
        <v>6</v>
      </c>
      <c r="L51" s="31">
        <v>8</v>
      </c>
      <c r="M51" s="40">
        <f t="shared" si="0"/>
        <v>0.48</v>
      </c>
      <c r="N51" s="41">
        <v>31.96</v>
      </c>
      <c r="O51" s="40">
        <f t="shared" si="1"/>
        <v>15.3408</v>
      </c>
      <c r="P51" s="45" t="s">
        <v>33</v>
      </c>
      <c r="Q51" t="s">
        <v>22</v>
      </c>
    </row>
    <row r="52" spans="1:19" x14ac:dyDescent="0.25">
      <c r="A52" s="30">
        <v>46273</v>
      </c>
      <c r="B52" s="48">
        <v>44</v>
      </c>
      <c r="C52" s="32" t="s">
        <v>31</v>
      </c>
      <c r="D52" s="46" t="s">
        <v>84</v>
      </c>
      <c r="E52" s="34"/>
      <c r="F52" s="35"/>
      <c r="G52" s="36" t="s">
        <v>34</v>
      </c>
      <c r="H52" s="43"/>
      <c r="I52" s="38"/>
      <c r="J52" s="44"/>
      <c r="K52" s="45">
        <v>80</v>
      </c>
      <c r="L52" s="31">
        <v>8</v>
      </c>
      <c r="M52" s="40">
        <f t="shared" si="0"/>
        <v>6.4</v>
      </c>
      <c r="N52" s="41">
        <v>31.96</v>
      </c>
      <c r="O52" s="40">
        <f t="shared" si="1"/>
        <v>204.54400000000001</v>
      </c>
      <c r="P52" s="45" t="s">
        <v>33</v>
      </c>
      <c r="R52" t="s">
        <v>23</v>
      </c>
    </row>
    <row r="53" spans="1:19" x14ac:dyDescent="0.25">
      <c r="A53" s="30">
        <v>46273</v>
      </c>
      <c r="B53" s="48">
        <v>45</v>
      </c>
      <c r="C53" s="32" t="s">
        <v>31</v>
      </c>
      <c r="D53" s="46" t="s">
        <v>61</v>
      </c>
      <c r="E53" s="34"/>
      <c r="F53" s="35"/>
      <c r="G53" s="36" t="s">
        <v>63</v>
      </c>
      <c r="H53" s="43"/>
      <c r="I53" s="38"/>
      <c r="J53" s="36"/>
      <c r="K53" s="45">
        <v>42</v>
      </c>
      <c r="L53" s="31">
        <v>8</v>
      </c>
      <c r="M53" s="40">
        <f t="shared" si="0"/>
        <v>3.36</v>
      </c>
      <c r="N53" s="41">
        <v>31.96</v>
      </c>
      <c r="O53" s="40">
        <f t="shared" si="1"/>
        <v>107.3856</v>
      </c>
      <c r="P53" s="45" t="s">
        <v>36</v>
      </c>
      <c r="R53" t="s">
        <v>23</v>
      </c>
      <c r="S53" t="s">
        <v>47</v>
      </c>
    </row>
    <row r="54" spans="1:19" x14ac:dyDescent="0.25">
      <c r="A54" s="30">
        <v>46273</v>
      </c>
      <c r="B54" s="48">
        <v>46</v>
      </c>
      <c r="C54" s="32" t="s">
        <v>31</v>
      </c>
      <c r="D54" s="46" t="s">
        <v>54</v>
      </c>
      <c r="E54" s="34"/>
      <c r="F54" s="35"/>
      <c r="G54" s="36" t="s">
        <v>122</v>
      </c>
      <c r="H54" s="43"/>
      <c r="I54" s="38"/>
      <c r="J54" s="44"/>
      <c r="K54" s="45">
        <v>56</v>
      </c>
      <c r="L54" s="31">
        <v>8</v>
      </c>
      <c r="M54" s="40">
        <f t="shared" si="0"/>
        <v>4.4800000000000004</v>
      </c>
      <c r="N54" s="41">
        <v>31.96</v>
      </c>
      <c r="O54" s="40">
        <f t="shared" si="1"/>
        <v>143.1808</v>
      </c>
      <c r="P54" s="45" t="s">
        <v>33</v>
      </c>
      <c r="R54" t="s">
        <v>23</v>
      </c>
    </row>
    <row r="55" spans="1:19" x14ac:dyDescent="0.25">
      <c r="A55" s="30">
        <v>46273</v>
      </c>
      <c r="B55" s="48">
        <v>47</v>
      </c>
      <c r="C55" s="32" t="s">
        <v>31</v>
      </c>
      <c r="D55" s="46" t="s">
        <v>61</v>
      </c>
      <c r="E55" s="34" t="s">
        <v>32</v>
      </c>
      <c r="F55" s="35"/>
      <c r="G55" s="36"/>
      <c r="H55" s="43"/>
      <c r="I55" s="38"/>
      <c r="J55" s="44"/>
      <c r="K55" s="45">
        <v>44</v>
      </c>
      <c r="L55" s="31">
        <v>8</v>
      </c>
      <c r="M55" s="40">
        <f t="shared" si="0"/>
        <v>3.52</v>
      </c>
      <c r="N55" s="41">
        <v>31.96</v>
      </c>
      <c r="O55" s="40">
        <f t="shared" si="1"/>
        <v>112.4992</v>
      </c>
      <c r="P55" s="45" t="s">
        <v>36</v>
      </c>
      <c r="R55" t="s">
        <v>23</v>
      </c>
      <c r="S55" t="s">
        <v>44</v>
      </c>
    </row>
    <row r="56" spans="1:19" x14ac:dyDescent="0.25">
      <c r="A56" s="30">
        <v>46273</v>
      </c>
      <c r="B56" s="48">
        <v>48</v>
      </c>
      <c r="C56" s="32" t="s">
        <v>31</v>
      </c>
      <c r="D56" s="46" t="s">
        <v>123</v>
      </c>
      <c r="E56" s="34"/>
      <c r="F56" s="35"/>
      <c r="G56" s="36" t="s">
        <v>34</v>
      </c>
      <c r="H56" s="43"/>
      <c r="I56" s="38"/>
      <c r="J56" s="44"/>
      <c r="K56" s="45">
        <v>80</v>
      </c>
      <c r="L56" s="31">
        <v>8</v>
      </c>
      <c r="M56" s="40">
        <f t="shared" si="0"/>
        <v>6.4</v>
      </c>
      <c r="N56" s="41">
        <v>31.96</v>
      </c>
      <c r="O56" s="40">
        <f t="shared" si="1"/>
        <v>204.54400000000001</v>
      </c>
      <c r="P56" s="45" t="s">
        <v>33</v>
      </c>
      <c r="R56" t="s">
        <v>23</v>
      </c>
    </row>
    <row r="57" spans="1:19" x14ac:dyDescent="0.25">
      <c r="A57" s="30">
        <v>46273</v>
      </c>
      <c r="B57" s="48">
        <v>49</v>
      </c>
      <c r="C57" s="32" t="s">
        <v>31</v>
      </c>
      <c r="D57" s="46" t="s">
        <v>54</v>
      </c>
      <c r="E57" s="34"/>
      <c r="F57" s="35"/>
      <c r="G57" s="36"/>
      <c r="H57" s="37"/>
      <c r="I57" s="38">
        <v>65</v>
      </c>
      <c r="J57" s="44"/>
      <c r="K57" s="45">
        <v>56</v>
      </c>
      <c r="L57" s="31">
        <v>8</v>
      </c>
      <c r="M57" s="40">
        <f t="shared" si="0"/>
        <v>4.4800000000000004</v>
      </c>
      <c r="N57" s="41">
        <v>31.96</v>
      </c>
      <c r="O57" s="40">
        <f t="shared" si="1"/>
        <v>143.1808</v>
      </c>
      <c r="P57" s="45" t="s">
        <v>36</v>
      </c>
      <c r="R57" t="s">
        <v>23</v>
      </c>
      <c r="S57" t="s">
        <v>44</v>
      </c>
    </row>
    <row r="58" spans="1:19" x14ac:dyDescent="0.25">
      <c r="A58" s="30">
        <v>46274</v>
      </c>
      <c r="B58" s="48">
        <v>50</v>
      </c>
      <c r="C58" s="32" t="s">
        <v>31</v>
      </c>
      <c r="D58" s="46" t="s">
        <v>124</v>
      </c>
      <c r="E58" s="35"/>
      <c r="F58" s="35"/>
      <c r="G58" s="36" t="s">
        <v>34</v>
      </c>
      <c r="H58" s="43"/>
      <c r="I58" s="38"/>
      <c r="J58" s="44"/>
      <c r="K58" s="45">
        <v>80</v>
      </c>
      <c r="L58" s="31">
        <v>8</v>
      </c>
      <c r="M58" s="40">
        <f t="shared" si="0"/>
        <v>6.4</v>
      </c>
      <c r="N58" s="41">
        <v>32.33</v>
      </c>
      <c r="O58" s="40">
        <f t="shared" si="1"/>
        <v>206.91200000000001</v>
      </c>
      <c r="P58" s="45" t="s">
        <v>36</v>
      </c>
      <c r="R58" t="s">
        <v>23</v>
      </c>
      <c r="S58" t="s">
        <v>44</v>
      </c>
    </row>
    <row r="59" spans="1:19" x14ac:dyDescent="0.25">
      <c r="A59" s="30">
        <v>46274</v>
      </c>
      <c r="B59" s="48">
        <v>51</v>
      </c>
      <c r="C59" s="32" t="s">
        <v>31</v>
      </c>
      <c r="D59" s="46" t="s">
        <v>125</v>
      </c>
      <c r="E59" s="34" t="s">
        <v>32</v>
      </c>
      <c r="F59" s="35"/>
      <c r="G59" s="36"/>
      <c r="H59" s="37"/>
      <c r="I59" s="38"/>
      <c r="J59" s="36"/>
      <c r="K59" s="45">
        <v>84</v>
      </c>
      <c r="L59" s="31">
        <v>8</v>
      </c>
      <c r="M59" s="40">
        <f t="shared" si="0"/>
        <v>6.72</v>
      </c>
      <c r="N59" s="41">
        <v>32.33</v>
      </c>
      <c r="O59" s="40">
        <f t="shared" si="1"/>
        <v>217.25759999999997</v>
      </c>
      <c r="P59" s="45" t="s">
        <v>33</v>
      </c>
      <c r="R59" t="s">
        <v>23</v>
      </c>
    </row>
    <row r="60" spans="1:19" x14ac:dyDescent="0.25">
      <c r="A60" s="30">
        <v>46274</v>
      </c>
      <c r="B60" s="48">
        <v>52</v>
      </c>
      <c r="C60" s="32" t="s">
        <v>31</v>
      </c>
      <c r="D60" s="46" t="s">
        <v>126</v>
      </c>
      <c r="E60" s="34"/>
      <c r="F60" s="35"/>
      <c r="G60" s="36"/>
      <c r="H60" s="43"/>
      <c r="I60" s="38"/>
      <c r="J60" s="44"/>
      <c r="K60" s="45">
        <v>6</v>
      </c>
      <c r="L60" s="31">
        <v>8</v>
      </c>
      <c r="M60" s="40">
        <f t="shared" si="0"/>
        <v>0.48</v>
      </c>
      <c r="N60" s="41">
        <v>32.33</v>
      </c>
      <c r="O60" s="40">
        <f t="shared" si="1"/>
        <v>15.518399999999998</v>
      </c>
      <c r="P60" s="45" t="s">
        <v>36</v>
      </c>
      <c r="Q60" t="s">
        <v>22</v>
      </c>
      <c r="S60" t="s">
        <v>44</v>
      </c>
    </row>
    <row r="61" spans="1:19" x14ac:dyDescent="0.25">
      <c r="A61" s="30">
        <v>46274</v>
      </c>
      <c r="B61" s="48">
        <v>53</v>
      </c>
      <c r="C61" s="32" t="s">
        <v>31</v>
      </c>
      <c r="D61" s="46" t="s">
        <v>127</v>
      </c>
      <c r="E61" s="34"/>
      <c r="F61" s="35"/>
      <c r="G61" s="36"/>
      <c r="H61" s="43"/>
      <c r="I61" s="38"/>
      <c r="J61" s="44" t="s">
        <v>128</v>
      </c>
      <c r="K61" s="45">
        <v>2</v>
      </c>
      <c r="L61" s="31">
        <v>8</v>
      </c>
      <c r="M61" s="40">
        <f t="shared" si="0"/>
        <v>0.16</v>
      </c>
      <c r="N61" s="41">
        <v>32.33</v>
      </c>
      <c r="O61" s="40">
        <f t="shared" si="1"/>
        <v>5.1727999999999996</v>
      </c>
      <c r="P61" s="45" t="s">
        <v>36</v>
      </c>
      <c r="Q61" t="s">
        <v>22</v>
      </c>
      <c r="S61" t="s">
        <v>44</v>
      </c>
    </row>
    <row r="62" spans="1:19" x14ac:dyDescent="0.25">
      <c r="A62" s="30">
        <v>46275</v>
      </c>
      <c r="B62" s="48">
        <v>54</v>
      </c>
      <c r="C62" s="32" t="s">
        <v>31</v>
      </c>
      <c r="D62" s="46" t="s">
        <v>129</v>
      </c>
      <c r="E62" s="34"/>
      <c r="F62" s="35"/>
      <c r="G62" s="36" t="s">
        <v>65</v>
      </c>
      <c r="H62" s="43"/>
      <c r="I62" s="38"/>
      <c r="J62" s="36"/>
      <c r="K62" s="45">
        <v>84</v>
      </c>
      <c r="L62" s="31">
        <v>8</v>
      </c>
      <c r="M62" s="40">
        <f t="shared" si="0"/>
        <v>6.72</v>
      </c>
      <c r="N62" s="41">
        <v>32.590000000000003</v>
      </c>
      <c r="O62" s="40">
        <f t="shared" si="1"/>
        <v>219.00480000000002</v>
      </c>
      <c r="P62" s="45" t="s">
        <v>36</v>
      </c>
      <c r="R62" t="s">
        <v>23</v>
      </c>
      <c r="S62" t="s">
        <v>64</v>
      </c>
    </row>
    <row r="63" spans="1:19" x14ac:dyDescent="0.25">
      <c r="A63" s="30">
        <v>46275</v>
      </c>
      <c r="B63" s="48">
        <v>55</v>
      </c>
      <c r="C63" s="32" t="s">
        <v>31</v>
      </c>
      <c r="D63" s="46" t="s">
        <v>93</v>
      </c>
      <c r="E63" s="34" t="s">
        <v>32</v>
      </c>
      <c r="F63" s="35"/>
      <c r="G63" s="36"/>
      <c r="H63" s="43"/>
      <c r="I63" s="38"/>
      <c r="J63" s="44"/>
      <c r="K63" s="45">
        <v>34</v>
      </c>
      <c r="L63" s="31">
        <v>8</v>
      </c>
      <c r="M63" s="40">
        <f t="shared" si="0"/>
        <v>2.72</v>
      </c>
      <c r="N63" s="41">
        <v>32.590000000000003</v>
      </c>
      <c r="O63" s="40">
        <f t="shared" si="1"/>
        <v>88.644800000000018</v>
      </c>
      <c r="P63" s="45" t="s">
        <v>33</v>
      </c>
      <c r="R63" t="s">
        <v>23</v>
      </c>
    </row>
    <row r="64" spans="1:19" x14ac:dyDescent="0.25">
      <c r="A64" s="30">
        <v>46275</v>
      </c>
      <c r="B64" s="48">
        <v>56</v>
      </c>
      <c r="C64" s="32" t="s">
        <v>31</v>
      </c>
      <c r="D64" s="46" t="s">
        <v>130</v>
      </c>
      <c r="E64" s="34"/>
      <c r="F64" s="35"/>
      <c r="G64" s="36" t="s">
        <v>38</v>
      </c>
      <c r="H64" s="43"/>
      <c r="I64" s="38"/>
      <c r="J64" s="44"/>
      <c r="K64" s="45">
        <v>6</v>
      </c>
      <c r="L64" s="31">
        <v>8</v>
      </c>
      <c r="M64" s="40">
        <f t="shared" si="0"/>
        <v>0.48</v>
      </c>
      <c r="N64" s="41">
        <v>32.590000000000003</v>
      </c>
      <c r="O64" s="40">
        <f t="shared" si="1"/>
        <v>15.6432</v>
      </c>
      <c r="P64" s="45" t="s">
        <v>33</v>
      </c>
      <c r="Q64" t="s">
        <v>22</v>
      </c>
    </row>
    <row r="65" spans="1:19" x14ac:dyDescent="0.25">
      <c r="A65" s="30">
        <v>46275</v>
      </c>
      <c r="B65" s="48">
        <v>57</v>
      </c>
      <c r="C65" s="32" t="s">
        <v>31</v>
      </c>
      <c r="D65" s="46" t="s">
        <v>131</v>
      </c>
      <c r="E65" s="34" t="s">
        <v>32</v>
      </c>
      <c r="F65" s="35"/>
      <c r="G65" s="36"/>
      <c r="H65" s="43"/>
      <c r="I65" s="38"/>
      <c r="J65" s="44"/>
      <c r="K65" s="45">
        <v>60</v>
      </c>
      <c r="L65" s="31">
        <v>8</v>
      </c>
      <c r="M65" s="40">
        <f t="shared" si="0"/>
        <v>4.8</v>
      </c>
      <c r="N65" s="41">
        <v>32.590000000000003</v>
      </c>
      <c r="O65" s="40">
        <f t="shared" si="1"/>
        <v>156.43200000000002</v>
      </c>
      <c r="P65" s="45" t="s">
        <v>33</v>
      </c>
      <c r="R65" t="s">
        <v>23</v>
      </c>
    </row>
    <row r="66" spans="1:19" x14ac:dyDescent="0.25">
      <c r="A66" s="30">
        <v>46275</v>
      </c>
      <c r="B66" s="48">
        <v>58</v>
      </c>
      <c r="C66" s="32" t="s">
        <v>31</v>
      </c>
      <c r="D66" s="46" t="s">
        <v>93</v>
      </c>
      <c r="E66" s="34" t="s">
        <v>32</v>
      </c>
      <c r="F66" s="35"/>
      <c r="G66" s="36"/>
      <c r="H66" s="37"/>
      <c r="I66" s="38"/>
      <c r="J66" s="44"/>
      <c r="K66" s="45">
        <v>34</v>
      </c>
      <c r="L66" s="31">
        <v>8</v>
      </c>
      <c r="M66" s="40">
        <f t="shared" si="0"/>
        <v>2.72</v>
      </c>
      <c r="N66" s="41">
        <v>32.590000000000003</v>
      </c>
      <c r="O66" s="40">
        <f t="shared" si="1"/>
        <v>88.644800000000018</v>
      </c>
      <c r="P66" s="45" t="s">
        <v>33</v>
      </c>
      <c r="R66" t="s">
        <v>23</v>
      </c>
    </row>
    <row r="67" spans="1:19" x14ac:dyDescent="0.25">
      <c r="A67" s="30">
        <v>46276</v>
      </c>
      <c r="B67" s="48">
        <v>59</v>
      </c>
      <c r="C67" s="32" t="s">
        <v>31</v>
      </c>
      <c r="D67" s="46" t="s">
        <v>97</v>
      </c>
      <c r="E67" s="34"/>
      <c r="F67" s="35"/>
      <c r="G67" s="36" t="s">
        <v>34</v>
      </c>
      <c r="H67" s="37"/>
      <c r="I67" s="38"/>
      <c r="J67" s="44"/>
      <c r="K67" s="45">
        <v>32</v>
      </c>
      <c r="L67" s="31">
        <v>8</v>
      </c>
      <c r="M67" s="40">
        <f t="shared" si="0"/>
        <v>2.56</v>
      </c>
      <c r="N67" s="41">
        <v>32.590000000000003</v>
      </c>
      <c r="O67" s="40">
        <f t="shared" si="1"/>
        <v>83.430400000000006</v>
      </c>
      <c r="P67" s="45" t="s">
        <v>36</v>
      </c>
      <c r="R67" t="s">
        <v>23</v>
      </c>
      <c r="S67" t="s">
        <v>44</v>
      </c>
    </row>
    <row r="68" spans="1:19" x14ac:dyDescent="0.25">
      <c r="A68" s="30">
        <v>46276</v>
      </c>
      <c r="B68" s="48">
        <v>60</v>
      </c>
      <c r="C68" s="32" t="s">
        <v>31</v>
      </c>
      <c r="D68" s="46" t="s">
        <v>61</v>
      </c>
      <c r="E68" s="38" t="s">
        <v>32</v>
      </c>
      <c r="F68" s="35"/>
      <c r="G68" s="36"/>
      <c r="H68" s="37"/>
      <c r="I68" s="38"/>
      <c r="J68" s="44"/>
      <c r="K68" s="39">
        <v>44</v>
      </c>
      <c r="L68" s="31">
        <v>8</v>
      </c>
      <c r="M68" s="40">
        <f t="shared" si="0"/>
        <v>3.52</v>
      </c>
      <c r="N68" s="41">
        <v>32.590000000000003</v>
      </c>
      <c r="O68" s="40">
        <f t="shared" si="1"/>
        <v>114.71680000000001</v>
      </c>
      <c r="P68" s="42" t="s">
        <v>33</v>
      </c>
      <c r="R68" t="s">
        <v>23</v>
      </c>
    </row>
    <row r="69" spans="1:19" x14ac:dyDescent="0.25">
      <c r="A69" s="30">
        <v>46276</v>
      </c>
      <c r="B69" s="48">
        <v>61</v>
      </c>
      <c r="C69" s="32" t="s">
        <v>31</v>
      </c>
      <c r="D69" s="46" t="s">
        <v>132</v>
      </c>
      <c r="E69" s="34"/>
      <c r="F69" s="32" t="s">
        <v>32</v>
      </c>
      <c r="G69" s="36"/>
      <c r="H69" s="43"/>
      <c r="I69" s="38"/>
      <c r="J69" s="44"/>
      <c r="K69" s="39">
        <v>34</v>
      </c>
      <c r="L69" s="31">
        <v>8</v>
      </c>
      <c r="M69" s="40">
        <f t="shared" si="0"/>
        <v>2.72</v>
      </c>
      <c r="N69" s="41">
        <v>32.590000000000003</v>
      </c>
      <c r="O69" s="40">
        <f t="shared" si="1"/>
        <v>88.644800000000018</v>
      </c>
      <c r="P69" s="42" t="s">
        <v>33</v>
      </c>
      <c r="R69" t="s">
        <v>23</v>
      </c>
    </row>
    <row r="70" spans="1:19" x14ac:dyDescent="0.25">
      <c r="A70" s="30">
        <v>46277</v>
      </c>
      <c r="B70" s="48">
        <v>62</v>
      </c>
      <c r="C70" s="32" t="s">
        <v>31</v>
      </c>
      <c r="D70" s="33" t="s">
        <v>133</v>
      </c>
      <c r="E70" s="34"/>
      <c r="F70" s="35"/>
      <c r="G70" s="36" t="s">
        <v>55</v>
      </c>
      <c r="H70" s="37"/>
      <c r="I70" s="38"/>
      <c r="J70" s="44"/>
      <c r="K70" s="39">
        <v>36</v>
      </c>
      <c r="L70" s="31">
        <v>8</v>
      </c>
      <c r="M70" s="40">
        <f t="shared" si="0"/>
        <v>2.88</v>
      </c>
      <c r="N70" s="41">
        <v>33.04</v>
      </c>
      <c r="O70" s="40">
        <f t="shared" si="1"/>
        <v>95.155199999999994</v>
      </c>
      <c r="P70" s="42" t="s">
        <v>33</v>
      </c>
      <c r="R70" t="s">
        <v>23</v>
      </c>
    </row>
    <row r="71" spans="1:19" x14ac:dyDescent="0.25">
      <c r="A71" s="30">
        <v>46277</v>
      </c>
      <c r="B71" s="48">
        <v>63</v>
      </c>
      <c r="C71" s="32" t="s">
        <v>31</v>
      </c>
      <c r="D71" s="33" t="s">
        <v>102</v>
      </c>
      <c r="E71" s="34" t="s">
        <v>32</v>
      </c>
      <c r="F71" s="35"/>
      <c r="G71" s="36"/>
      <c r="H71" s="37"/>
      <c r="I71" s="38"/>
      <c r="J71" s="36"/>
      <c r="K71" s="39">
        <v>60</v>
      </c>
      <c r="L71" s="31">
        <v>8</v>
      </c>
      <c r="M71" s="40">
        <f t="shared" si="0"/>
        <v>4.8</v>
      </c>
      <c r="N71" s="41">
        <v>33.04</v>
      </c>
      <c r="O71" s="40">
        <f t="shared" si="1"/>
        <v>158.59199999999998</v>
      </c>
      <c r="P71" s="42" t="s">
        <v>33</v>
      </c>
      <c r="R71" t="s">
        <v>23</v>
      </c>
    </row>
    <row r="72" spans="1:19" x14ac:dyDescent="0.25">
      <c r="A72" s="30">
        <v>46277</v>
      </c>
      <c r="B72" s="48">
        <v>64</v>
      </c>
      <c r="C72" s="32" t="s">
        <v>31</v>
      </c>
      <c r="D72" s="33" t="s">
        <v>50</v>
      </c>
      <c r="E72" s="34" t="s">
        <v>32</v>
      </c>
      <c r="F72" s="35"/>
      <c r="G72" s="36"/>
      <c r="H72" s="37"/>
      <c r="I72" s="38"/>
      <c r="J72" s="44"/>
      <c r="K72" s="39">
        <v>80</v>
      </c>
      <c r="L72" s="31">
        <v>8</v>
      </c>
      <c r="M72" s="40">
        <f t="shared" si="0"/>
        <v>6.4</v>
      </c>
      <c r="N72" s="41">
        <v>33.04</v>
      </c>
      <c r="O72" s="40">
        <f t="shared" si="1"/>
        <v>211.45600000000002</v>
      </c>
      <c r="P72" s="42" t="s">
        <v>36</v>
      </c>
      <c r="R72" t="s">
        <v>23</v>
      </c>
      <c r="S72" t="s">
        <v>37</v>
      </c>
    </row>
    <row r="73" spans="1:19" x14ac:dyDescent="0.25">
      <c r="A73" s="30">
        <v>46278</v>
      </c>
      <c r="B73" s="48">
        <v>65</v>
      </c>
      <c r="C73" s="32" t="s">
        <v>31</v>
      </c>
      <c r="D73" s="33" t="s">
        <v>68</v>
      </c>
      <c r="E73" s="34" t="s">
        <v>32</v>
      </c>
      <c r="F73" s="35"/>
      <c r="G73" s="36"/>
      <c r="H73" s="37"/>
      <c r="I73" s="38"/>
      <c r="J73" s="44"/>
      <c r="K73" s="39">
        <v>66</v>
      </c>
      <c r="L73" s="31">
        <v>8</v>
      </c>
      <c r="M73" s="40">
        <f t="shared" ref="M73:M113" si="2">K73/100*L73</f>
        <v>5.28</v>
      </c>
      <c r="N73" s="41">
        <v>33.04</v>
      </c>
      <c r="O73" s="40">
        <f t="shared" ref="O73:O136" si="3">N73*M73</f>
        <v>174.4512</v>
      </c>
      <c r="P73" s="42" t="s">
        <v>33</v>
      </c>
      <c r="R73" t="s">
        <v>23</v>
      </c>
    </row>
    <row r="74" spans="1:19" x14ac:dyDescent="0.25">
      <c r="A74" s="30">
        <v>46278</v>
      </c>
      <c r="B74" s="48">
        <v>66</v>
      </c>
      <c r="C74" s="32" t="s">
        <v>31</v>
      </c>
      <c r="D74" s="33" t="s">
        <v>72</v>
      </c>
      <c r="E74" s="34" t="s">
        <v>32</v>
      </c>
      <c r="F74" s="35"/>
      <c r="G74" s="36"/>
      <c r="H74" s="43"/>
      <c r="I74" s="38"/>
      <c r="J74" s="44"/>
      <c r="K74" s="39">
        <v>88</v>
      </c>
      <c r="L74" s="31">
        <v>8</v>
      </c>
      <c r="M74" s="40">
        <f t="shared" si="2"/>
        <v>7.04</v>
      </c>
      <c r="N74" s="41">
        <v>33.04</v>
      </c>
      <c r="O74" s="40">
        <f t="shared" si="3"/>
        <v>232.60159999999999</v>
      </c>
      <c r="P74" s="42" t="s">
        <v>36</v>
      </c>
      <c r="R74" t="s">
        <v>23</v>
      </c>
      <c r="S74" t="s">
        <v>37</v>
      </c>
    </row>
    <row r="75" spans="1:19" x14ac:dyDescent="0.25">
      <c r="A75" s="30">
        <v>46278</v>
      </c>
      <c r="B75" s="48">
        <v>67</v>
      </c>
      <c r="C75" s="32" t="s">
        <v>31</v>
      </c>
      <c r="D75" s="46" t="s">
        <v>78</v>
      </c>
      <c r="E75" s="34"/>
      <c r="F75" s="35"/>
      <c r="G75" s="36"/>
      <c r="H75" s="43"/>
      <c r="I75" s="38"/>
      <c r="J75" s="44" t="s">
        <v>58</v>
      </c>
      <c r="K75" s="39">
        <v>44</v>
      </c>
      <c r="L75" s="31">
        <v>8</v>
      </c>
      <c r="M75" s="40">
        <f t="shared" si="2"/>
        <v>3.52</v>
      </c>
      <c r="N75" s="41">
        <v>33.04</v>
      </c>
      <c r="O75" s="40">
        <f t="shared" si="3"/>
        <v>116.3008</v>
      </c>
      <c r="P75" s="42" t="s">
        <v>36</v>
      </c>
      <c r="R75" t="s">
        <v>23</v>
      </c>
      <c r="S75" t="s">
        <v>44</v>
      </c>
    </row>
    <row r="76" spans="1:19" x14ac:dyDescent="0.25">
      <c r="A76" s="30">
        <v>46278</v>
      </c>
      <c r="B76" s="48">
        <v>68</v>
      </c>
      <c r="C76" s="32" t="s">
        <v>31</v>
      </c>
      <c r="D76" s="46" t="s">
        <v>67</v>
      </c>
      <c r="E76" s="34"/>
      <c r="F76" s="35" t="s">
        <v>32</v>
      </c>
      <c r="G76" s="36" t="s">
        <v>60</v>
      </c>
      <c r="H76" s="43"/>
      <c r="I76" s="38"/>
      <c r="J76" s="44"/>
      <c r="K76" s="39">
        <v>40</v>
      </c>
      <c r="L76" s="31">
        <v>8</v>
      </c>
      <c r="M76" s="40">
        <f t="shared" si="2"/>
        <v>3.2</v>
      </c>
      <c r="N76" s="41">
        <v>33.04</v>
      </c>
      <c r="O76" s="40">
        <f t="shared" si="3"/>
        <v>105.72800000000001</v>
      </c>
      <c r="P76" s="42" t="s">
        <v>33</v>
      </c>
      <c r="R76" t="s">
        <v>23</v>
      </c>
    </row>
    <row r="77" spans="1:19" x14ac:dyDescent="0.25">
      <c r="A77" s="30">
        <v>46278</v>
      </c>
      <c r="B77" s="48">
        <v>69</v>
      </c>
      <c r="C77" s="32" t="s">
        <v>31</v>
      </c>
      <c r="D77" s="46" t="s">
        <v>134</v>
      </c>
      <c r="E77" s="34"/>
      <c r="F77" s="35"/>
      <c r="G77" s="36" t="s">
        <v>60</v>
      </c>
      <c r="H77" s="43"/>
      <c r="I77" s="38"/>
      <c r="J77" s="44"/>
      <c r="K77" s="39">
        <v>40</v>
      </c>
      <c r="L77" s="31">
        <v>8</v>
      </c>
      <c r="M77" s="40">
        <f t="shared" si="2"/>
        <v>3.2</v>
      </c>
      <c r="N77" s="41">
        <v>33.04</v>
      </c>
      <c r="O77" s="40">
        <f t="shared" si="3"/>
        <v>105.72800000000001</v>
      </c>
      <c r="P77" s="42" t="s">
        <v>33</v>
      </c>
      <c r="R77" t="s">
        <v>23</v>
      </c>
    </row>
    <row r="78" spans="1:19" x14ac:dyDescent="0.25">
      <c r="A78" s="30">
        <v>46278</v>
      </c>
      <c r="B78" s="48">
        <v>70</v>
      </c>
      <c r="C78" s="32" t="s">
        <v>31</v>
      </c>
      <c r="D78" s="33" t="s">
        <v>135</v>
      </c>
      <c r="E78" s="34"/>
      <c r="F78" s="35"/>
      <c r="G78" s="36"/>
      <c r="H78" s="43"/>
      <c r="I78" s="38">
        <v>75</v>
      </c>
      <c r="J78" s="44"/>
      <c r="K78" s="39">
        <v>8</v>
      </c>
      <c r="L78" s="31">
        <v>8</v>
      </c>
      <c r="M78" s="40">
        <f t="shared" si="2"/>
        <v>0.64</v>
      </c>
      <c r="N78" s="41">
        <v>33.04</v>
      </c>
      <c r="O78" s="40">
        <f t="shared" si="3"/>
        <v>21.145599999999998</v>
      </c>
      <c r="P78" s="42" t="s">
        <v>33</v>
      </c>
      <c r="Q78" t="s">
        <v>22</v>
      </c>
    </row>
    <row r="79" spans="1:19" x14ac:dyDescent="0.25">
      <c r="A79" s="30">
        <v>46278</v>
      </c>
      <c r="B79" s="48">
        <v>71</v>
      </c>
      <c r="C79" s="32" t="s">
        <v>31</v>
      </c>
      <c r="D79" s="33" t="s">
        <v>129</v>
      </c>
      <c r="E79" s="34" t="s">
        <v>32</v>
      </c>
      <c r="F79" s="35"/>
      <c r="G79" s="36"/>
      <c r="H79" s="37" t="s">
        <v>136</v>
      </c>
      <c r="I79" s="38"/>
      <c r="J79" s="44"/>
      <c r="K79" s="39">
        <v>80</v>
      </c>
      <c r="L79" s="31">
        <v>8</v>
      </c>
      <c r="M79" s="40">
        <f t="shared" si="2"/>
        <v>6.4</v>
      </c>
      <c r="N79" s="41">
        <v>33.04</v>
      </c>
      <c r="O79" s="40">
        <f t="shared" si="3"/>
        <v>211.45600000000002</v>
      </c>
      <c r="P79" s="49" t="s">
        <v>36</v>
      </c>
      <c r="R79" t="s">
        <v>23</v>
      </c>
      <c r="S79" t="s">
        <v>64</v>
      </c>
    </row>
    <row r="80" spans="1:19" x14ac:dyDescent="0.25">
      <c r="A80" s="30">
        <v>46279</v>
      </c>
      <c r="B80" s="48">
        <v>72</v>
      </c>
      <c r="C80" s="32" t="s">
        <v>31</v>
      </c>
      <c r="D80" s="33" t="s">
        <v>69</v>
      </c>
      <c r="E80" s="34" t="s">
        <v>32</v>
      </c>
      <c r="F80" s="35"/>
      <c r="G80" s="36"/>
      <c r="H80" s="43"/>
      <c r="I80" s="38"/>
      <c r="J80" s="44"/>
      <c r="K80" s="39">
        <v>14</v>
      </c>
      <c r="L80" s="31">
        <v>8</v>
      </c>
      <c r="M80" s="40">
        <f t="shared" si="2"/>
        <v>1.1200000000000001</v>
      </c>
      <c r="N80" s="41">
        <v>33.04</v>
      </c>
      <c r="O80" s="40">
        <f t="shared" si="3"/>
        <v>37.004800000000003</v>
      </c>
      <c r="P80" s="42" t="s">
        <v>33</v>
      </c>
      <c r="R80" t="s">
        <v>23</v>
      </c>
    </row>
    <row r="81" spans="1:19" x14ac:dyDescent="0.25">
      <c r="A81" s="30">
        <v>46279</v>
      </c>
      <c r="B81" s="48">
        <v>73</v>
      </c>
      <c r="C81" s="32" t="s">
        <v>31</v>
      </c>
      <c r="D81" s="33" t="s">
        <v>54</v>
      </c>
      <c r="E81" s="34"/>
      <c r="F81" s="32"/>
      <c r="G81" s="36" t="s">
        <v>34</v>
      </c>
      <c r="H81" s="37"/>
      <c r="I81" s="38"/>
      <c r="J81" s="44"/>
      <c r="K81" s="39">
        <v>56</v>
      </c>
      <c r="L81" s="31">
        <v>8</v>
      </c>
      <c r="M81" s="40">
        <f t="shared" si="2"/>
        <v>4.4800000000000004</v>
      </c>
      <c r="N81" s="41">
        <v>33.04</v>
      </c>
      <c r="O81" s="40">
        <f t="shared" si="3"/>
        <v>148.01920000000001</v>
      </c>
      <c r="P81" s="49" t="s">
        <v>33</v>
      </c>
      <c r="R81" t="s">
        <v>23</v>
      </c>
    </row>
    <row r="82" spans="1:19" x14ac:dyDescent="0.25">
      <c r="A82" s="30">
        <v>46279</v>
      </c>
      <c r="B82" s="48">
        <v>74</v>
      </c>
      <c r="C82" s="32" t="s">
        <v>31</v>
      </c>
      <c r="D82" s="33" t="s">
        <v>137</v>
      </c>
      <c r="E82" s="34"/>
      <c r="F82" s="35"/>
      <c r="G82" s="36" t="s">
        <v>39</v>
      </c>
      <c r="H82" s="43"/>
      <c r="I82" s="38"/>
      <c r="J82" s="44"/>
      <c r="K82" s="39">
        <v>36</v>
      </c>
      <c r="L82" s="31">
        <v>8</v>
      </c>
      <c r="M82" s="40">
        <f t="shared" si="2"/>
        <v>2.88</v>
      </c>
      <c r="N82" s="41">
        <v>33.04</v>
      </c>
      <c r="O82" s="40">
        <f t="shared" si="3"/>
        <v>95.155199999999994</v>
      </c>
      <c r="P82" s="42" t="s">
        <v>33</v>
      </c>
      <c r="R82" t="s">
        <v>23</v>
      </c>
    </row>
    <row r="83" spans="1:19" x14ac:dyDescent="0.25">
      <c r="A83" s="30">
        <v>46280</v>
      </c>
      <c r="B83" s="48">
        <v>75</v>
      </c>
      <c r="C83" s="32" t="s">
        <v>31</v>
      </c>
      <c r="D83" s="33" t="s">
        <v>68</v>
      </c>
      <c r="E83" s="34"/>
      <c r="F83" s="32"/>
      <c r="G83" s="36" t="s">
        <v>82</v>
      </c>
      <c r="H83" s="43"/>
      <c r="I83" s="38"/>
      <c r="J83" s="44"/>
      <c r="K83" s="39">
        <v>70</v>
      </c>
      <c r="L83" s="31">
        <v>8</v>
      </c>
      <c r="M83" s="40">
        <f t="shared" si="2"/>
        <v>5.6</v>
      </c>
      <c r="N83" s="41">
        <v>33.04</v>
      </c>
      <c r="O83" s="40">
        <f t="shared" si="3"/>
        <v>185.02399999999997</v>
      </c>
      <c r="P83" s="42" t="s">
        <v>36</v>
      </c>
      <c r="R83" t="s">
        <v>23</v>
      </c>
      <c r="S83" t="s">
        <v>44</v>
      </c>
    </row>
    <row r="84" spans="1:19" x14ac:dyDescent="0.25">
      <c r="A84" s="30">
        <v>46280</v>
      </c>
      <c r="B84" s="48">
        <v>76</v>
      </c>
      <c r="C84" s="32" t="s">
        <v>31</v>
      </c>
      <c r="D84" s="33" t="s">
        <v>61</v>
      </c>
      <c r="E84" s="34"/>
      <c r="F84" s="35"/>
      <c r="G84" s="36" t="s">
        <v>34</v>
      </c>
      <c r="H84" s="43"/>
      <c r="I84" s="38"/>
      <c r="J84" s="44"/>
      <c r="K84" s="39">
        <v>42</v>
      </c>
      <c r="L84" s="31">
        <v>8</v>
      </c>
      <c r="M84" s="40">
        <f t="shared" si="2"/>
        <v>3.36</v>
      </c>
      <c r="N84" s="41">
        <v>33.04</v>
      </c>
      <c r="O84" s="40">
        <f t="shared" si="3"/>
        <v>111.01439999999999</v>
      </c>
      <c r="P84" s="42" t="s">
        <v>33</v>
      </c>
      <c r="R84" t="s">
        <v>23</v>
      </c>
    </row>
    <row r="85" spans="1:19" x14ac:dyDescent="0.25">
      <c r="A85" s="30">
        <v>46280</v>
      </c>
      <c r="B85" s="48">
        <v>77</v>
      </c>
      <c r="C85" s="32" t="s">
        <v>31</v>
      </c>
      <c r="D85" s="33" t="s">
        <v>75</v>
      </c>
      <c r="E85" s="34"/>
      <c r="F85" s="35"/>
      <c r="G85" s="36" t="s">
        <v>34</v>
      </c>
      <c r="H85" s="37"/>
      <c r="I85" s="38"/>
      <c r="J85" s="44"/>
      <c r="K85" s="39">
        <v>50</v>
      </c>
      <c r="L85" s="31">
        <v>8</v>
      </c>
      <c r="M85" s="40">
        <f t="shared" si="2"/>
        <v>4</v>
      </c>
      <c r="N85" s="41">
        <v>33.04</v>
      </c>
      <c r="O85" s="40">
        <f t="shared" si="3"/>
        <v>132.16</v>
      </c>
      <c r="P85" s="42" t="s">
        <v>33</v>
      </c>
      <c r="R85" t="s">
        <v>23</v>
      </c>
    </row>
    <row r="86" spans="1:19" x14ac:dyDescent="0.25">
      <c r="A86" s="30">
        <v>46280</v>
      </c>
      <c r="B86" s="48">
        <v>78</v>
      </c>
      <c r="C86" s="32" t="s">
        <v>31</v>
      </c>
      <c r="D86" s="33" t="s">
        <v>67</v>
      </c>
      <c r="E86" s="34"/>
      <c r="F86" s="35"/>
      <c r="G86" s="36" t="s">
        <v>76</v>
      </c>
      <c r="H86" s="43"/>
      <c r="I86" s="38"/>
      <c r="J86" s="44"/>
      <c r="K86" s="39">
        <v>40</v>
      </c>
      <c r="L86" s="31">
        <v>8</v>
      </c>
      <c r="M86" s="40">
        <f t="shared" si="2"/>
        <v>3.2</v>
      </c>
      <c r="N86" s="41">
        <v>33.04</v>
      </c>
      <c r="O86" s="40">
        <f t="shared" si="3"/>
        <v>105.72800000000001</v>
      </c>
      <c r="P86" s="42" t="s">
        <v>33</v>
      </c>
      <c r="R86" t="s">
        <v>23</v>
      </c>
    </row>
    <row r="87" spans="1:19" x14ac:dyDescent="0.25">
      <c r="A87" s="30">
        <v>46280</v>
      </c>
      <c r="B87" s="48">
        <v>79</v>
      </c>
      <c r="C87" s="32" t="s">
        <v>31</v>
      </c>
      <c r="D87" s="33" t="s">
        <v>123</v>
      </c>
      <c r="E87" s="34"/>
      <c r="F87" s="35"/>
      <c r="G87" s="36" t="s">
        <v>34</v>
      </c>
      <c r="H87" s="43"/>
      <c r="I87" s="38"/>
      <c r="J87" s="44"/>
      <c r="K87" s="39">
        <v>80</v>
      </c>
      <c r="L87" s="31">
        <v>8</v>
      </c>
      <c r="M87" s="40">
        <f t="shared" si="2"/>
        <v>6.4</v>
      </c>
      <c r="N87" s="41">
        <v>33.04</v>
      </c>
      <c r="O87" s="40">
        <f t="shared" si="3"/>
        <v>211.45600000000002</v>
      </c>
      <c r="P87" s="42" t="s">
        <v>33</v>
      </c>
      <c r="R87" t="s">
        <v>23</v>
      </c>
    </row>
    <row r="88" spans="1:19" x14ac:dyDescent="0.25">
      <c r="A88" s="30">
        <v>46281</v>
      </c>
      <c r="B88" s="48">
        <v>80</v>
      </c>
      <c r="C88" s="32" t="s">
        <v>31</v>
      </c>
      <c r="D88" s="33" t="s">
        <v>138</v>
      </c>
      <c r="E88" s="34"/>
      <c r="F88" s="32"/>
      <c r="G88" s="36" t="s">
        <v>34</v>
      </c>
      <c r="H88" s="43"/>
      <c r="I88" s="38"/>
      <c r="J88" s="44"/>
      <c r="K88" s="39">
        <v>6</v>
      </c>
      <c r="L88" s="31">
        <v>11</v>
      </c>
      <c r="M88" s="40">
        <f t="shared" si="2"/>
        <v>0.65999999999999992</v>
      </c>
      <c r="N88" s="41">
        <v>35.15</v>
      </c>
      <c r="O88" s="40">
        <f t="shared" si="3"/>
        <v>23.198999999999995</v>
      </c>
      <c r="P88" s="42" t="s">
        <v>33</v>
      </c>
      <c r="Q88" t="s">
        <v>22</v>
      </c>
    </row>
    <row r="89" spans="1:19" x14ac:dyDescent="0.25">
      <c r="A89" s="30">
        <v>46281</v>
      </c>
      <c r="B89" s="48">
        <v>81</v>
      </c>
      <c r="C89" s="32" t="s">
        <v>31</v>
      </c>
      <c r="D89" s="33" t="s">
        <v>103</v>
      </c>
      <c r="E89" s="34"/>
      <c r="F89" s="35"/>
      <c r="G89" s="36" t="s">
        <v>139</v>
      </c>
      <c r="H89" s="43"/>
      <c r="I89" s="38"/>
      <c r="J89" s="44" t="s">
        <v>46</v>
      </c>
      <c r="K89" s="39">
        <v>16</v>
      </c>
      <c r="L89" s="31">
        <v>11</v>
      </c>
      <c r="M89" s="40">
        <f t="shared" si="2"/>
        <v>1.76</v>
      </c>
      <c r="N89" s="41">
        <v>35.15</v>
      </c>
      <c r="O89" s="40">
        <f t="shared" si="3"/>
        <v>61.863999999999997</v>
      </c>
      <c r="P89" s="42" t="s">
        <v>33</v>
      </c>
      <c r="R89" t="s">
        <v>23</v>
      </c>
    </row>
    <row r="90" spans="1:19" x14ac:dyDescent="0.25">
      <c r="A90" s="30">
        <v>46281</v>
      </c>
      <c r="B90" s="48">
        <v>82</v>
      </c>
      <c r="C90" s="32" t="s">
        <v>31</v>
      </c>
      <c r="D90" s="33" t="s">
        <v>140</v>
      </c>
      <c r="E90" s="34" t="s">
        <v>32</v>
      </c>
      <c r="F90" s="35"/>
      <c r="G90" s="36"/>
      <c r="H90" s="37"/>
      <c r="I90" s="38"/>
      <c r="J90" s="44"/>
      <c r="K90" s="39">
        <v>2</v>
      </c>
      <c r="L90" s="31">
        <v>11</v>
      </c>
      <c r="M90" s="40">
        <f t="shared" si="2"/>
        <v>0.22</v>
      </c>
      <c r="N90" s="41">
        <v>35.15</v>
      </c>
      <c r="O90" s="40">
        <f t="shared" si="3"/>
        <v>7.7329999999999997</v>
      </c>
      <c r="P90" s="42" t="s">
        <v>33</v>
      </c>
      <c r="Q90" t="s">
        <v>22</v>
      </c>
    </row>
    <row r="91" spans="1:19" x14ac:dyDescent="0.25">
      <c r="A91" s="30">
        <v>46281</v>
      </c>
      <c r="B91" s="48">
        <v>83</v>
      </c>
      <c r="C91" s="32" t="s">
        <v>31</v>
      </c>
      <c r="D91" s="33" t="s">
        <v>77</v>
      </c>
      <c r="E91" s="34"/>
      <c r="F91" s="35"/>
      <c r="G91" s="36" t="s">
        <v>34</v>
      </c>
      <c r="H91" s="43"/>
      <c r="I91" s="38"/>
      <c r="J91" s="44"/>
      <c r="K91" s="39">
        <v>48</v>
      </c>
      <c r="L91" s="31">
        <v>11</v>
      </c>
      <c r="M91" s="40">
        <f t="shared" si="2"/>
        <v>5.2799999999999994</v>
      </c>
      <c r="N91" s="41">
        <v>35.15</v>
      </c>
      <c r="O91" s="40">
        <f t="shared" si="3"/>
        <v>185.59199999999996</v>
      </c>
      <c r="P91" s="42" t="s">
        <v>33</v>
      </c>
      <c r="R91" t="s">
        <v>23</v>
      </c>
    </row>
    <row r="92" spans="1:19" x14ac:dyDescent="0.25">
      <c r="A92" s="30">
        <v>46281</v>
      </c>
      <c r="B92" s="48">
        <v>84</v>
      </c>
      <c r="C92" s="32" t="s">
        <v>31</v>
      </c>
      <c r="D92" s="33" t="s">
        <v>56</v>
      </c>
      <c r="E92" s="34" t="s">
        <v>32</v>
      </c>
      <c r="F92" s="32"/>
      <c r="G92" s="36"/>
      <c r="H92" s="43"/>
      <c r="I92" s="38"/>
      <c r="J92" s="44"/>
      <c r="K92" s="39">
        <v>20</v>
      </c>
      <c r="L92" s="31">
        <v>11</v>
      </c>
      <c r="M92" s="40">
        <f t="shared" si="2"/>
        <v>2.2000000000000002</v>
      </c>
      <c r="N92" s="41">
        <v>35.15</v>
      </c>
      <c r="O92" s="40">
        <f t="shared" si="3"/>
        <v>77.33</v>
      </c>
      <c r="P92" s="42" t="s">
        <v>33</v>
      </c>
      <c r="R92" t="s">
        <v>23</v>
      </c>
    </row>
    <row r="93" spans="1:19" x14ac:dyDescent="0.25">
      <c r="A93" s="30">
        <v>46281</v>
      </c>
      <c r="B93" s="48">
        <v>85</v>
      </c>
      <c r="C93" s="32" t="s">
        <v>31</v>
      </c>
      <c r="D93" s="33" t="s">
        <v>69</v>
      </c>
      <c r="E93" s="34"/>
      <c r="F93" s="32"/>
      <c r="G93" s="36" t="s">
        <v>34</v>
      </c>
      <c r="H93" s="37"/>
      <c r="I93" s="38"/>
      <c r="J93" s="44"/>
      <c r="K93" s="39">
        <v>14</v>
      </c>
      <c r="L93" s="31">
        <v>11</v>
      </c>
      <c r="M93" s="40">
        <f t="shared" si="2"/>
        <v>1.54</v>
      </c>
      <c r="N93" s="41">
        <v>35.15</v>
      </c>
      <c r="O93" s="40">
        <f t="shared" si="3"/>
        <v>54.131</v>
      </c>
      <c r="P93" s="42" t="s">
        <v>33</v>
      </c>
      <c r="R93" t="s">
        <v>23</v>
      </c>
    </row>
    <row r="94" spans="1:19" x14ac:dyDescent="0.25">
      <c r="A94" s="30">
        <v>46281</v>
      </c>
      <c r="B94" s="48">
        <v>86</v>
      </c>
      <c r="C94" s="32" t="s">
        <v>31</v>
      </c>
      <c r="D94" s="33" t="s">
        <v>71</v>
      </c>
      <c r="E94" s="34"/>
      <c r="F94" s="35"/>
      <c r="G94" s="36" t="s">
        <v>34</v>
      </c>
      <c r="H94" s="37"/>
      <c r="I94" s="38"/>
      <c r="J94" s="44"/>
      <c r="K94" s="39">
        <v>34</v>
      </c>
      <c r="L94" s="31">
        <v>11</v>
      </c>
      <c r="M94" s="40">
        <f t="shared" si="2"/>
        <v>3.74</v>
      </c>
      <c r="N94" s="41">
        <v>35.15</v>
      </c>
      <c r="O94" s="40">
        <f t="shared" si="3"/>
        <v>131.46100000000001</v>
      </c>
      <c r="P94" s="42" t="s">
        <v>33</v>
      </c>
      <c r="R94" t="s">
        <v>23</v>
      </c>
    </row>
    <row r="95" spans="1:19" x14ac:dyDescent="0.25">
      <c r="A95" s="30">
        <v>46281</v>
      </c>
      <c r="B95" s="48">
        <v>87</v>
      </c>
      <c r="C95" s="32" t="s">
        <v>31</v>
      </c>
      <c r="D95" s="33" t="s">
        <v>141</v>
      </c>
      <c r="E95" s="34"/>
      <c r="F95" s="35"/>
      <c r="G95" s="36" t="s">
        <v>60</v>
      </c>
      <c r="H95" s="43"/>
      <c r="I95" s="38"/>
      <c r="J95" s="44"/>
      <c r="K95" s="39">
        <v>40</v>
      </c>
      <c r="L95" s="31">
        <v>11</v>
      </c>
      <c r="M95" s="40">
        <f t="shared" si="2"/>
        <v>4.4000000000000004</v>
      </c>
      <c r="N95" s="41">
        <v>35.15</v>
      </c>
      <c r="O95" s="40">
        <f t="shared" si="3"/>
        <v>154.66</v>
      </c>
      <c r="P95" s="42" t="s">
        <v>36</v>
      </c>
      <c r="R95" t="s">
        <v>23</v>
      </c>
      <c r="S95" t="s">
        <v>44</v>
      </c>
    </row>
    <row r="96" spans="1:19" x14ac:dyDescent="0.25">
      <c r="A96" s="30">
        <v>46282</v>
      </c>
      <c r="B96" s="48">
        <v>88</v>
      </c>
      <c r="C96" s="32" t="s">
        <v>31</v>
      </c>
      <c r="D96" s="33" t="s">
        <v>142</v>
      </c>
      <c r="E96" s="34" t="s">
        <v>32</v>
      </c>
      <c r="F96" s="32"/>
      <c r="G96" s="36"/>
      <c r="H96" s="43"/>
      <c r="I96" s="38"/>
      <c r="J96" s="44"/>
      <c r="K96" s="39">
        <v>12</v>
      </c>
      <c r="L96" s="31">
        <v>11</v>
      </c>
      <c r="M96" s="40">
        <f t="shared" si="2"/>
        <v>1.3199999999999998</v>
      </c>
      <c r="N96" s="41">
        <v>35.53</v>
      </c>
      <c r="O96" s="40">
        <f t="shared" si="3"/>
        <v>46.899599999999992</v>
      </c>
      <c r="P96" s="42" t="s">
        <v>33</v>
      </c>
      <c r="Q96" t="s">
        <v>22</v>
      </c>
    </row>
    <row r="97" spans="1:19" x14ac:dyDescent="0.25">
      <c r="A97" s="30">
        <v>46282</v>
      </c>
      <c r="B97" s="48">
        <v>89</v>
      </c>
      <c r="C97" s="32" t="s">
        <v>31</v>
      </c>
      <c r="D97" s="33" t="s">
        <v>61</v>
      </c>
      <c r="E97" s="34" t="s">
        <v>32</v>
      </c>
      <c r="F97" s="32"/>
      <c r="G97" s="36"/>
      <c r="H97" s="37"/>
      <c r="I97" s="38"/>
      <c r="J97" s="44"/>
      <c r="K97" s="39">
        <v>22</v>
      </c>
      <c r="L97" s="31">
        <v>11</v>
      </c>
      <c r="M97" s="40">
        <f t="shared" si="2"/>
        <v>2.42</v>
      </c>
      <c r="N97" s="41">
        <v>35.53</v>
      </c>
      <c r="O97" s="40">
        <f t="shared" si="3"/>
        <v>85.982600000000005</v>
      </c>
      <c r="P97" s="42" t="s">
        <v>33</v>
      </c>
      <c r="R97" t="s">
        <v>23</v>
      </c>
    </row>
    <row r="98" spans="1:19" x14ac:dyDescent="0.25">
      <c r="A98" s="30">
        <v>46282</v>
      </c>
      <c r="B98" s="48">
        <v>90</v>
      </c>
      <c r="C98" s="32" t="s">
        <v>31</v>
      </c>
      <c r="D98" s="33" t="s">
        <v>119</v>
      </c>
      <c r="E98" s="34"/>
      <c r="F98" s="35" t="s">
        <v>32</v>
      </c>
      <c r="G98" s="36"/>
      <c r="H98" s="37"/>
      <c r="I98" s="38"/>
      <c r="J98" s="36"/>
      <c r="K98" s="39">
        <v>20</v>
      </c>
      <c r="L98" s="31">
        <v>11</v>
      </c>
      <c r="M98" s="40">
        <f t="shared" si="2"/>
        <v>2.2000000000000002</v>
      </c>
      <c r="N98" s="41">
        <v>35.53</v>
      </c>
      <c r="O98" s="40">
        <f t="shared" si="3"/>
        <v>78.166000000000011</v>
      </c>
      <c r="P98" s="42" t="s">
        <v>33</v>
      </c>
      <c r="R98" t="s">
        <v>23</v>
      </c>
    </row>
    <row r="99" spans="1:19" x14ac:dyDescent="0.25">
      <c r="A99" s="30">
        <v>46282</v>
      </c>
      <c r="B99" s="48">
        <v>91</v>
      </c>
      <c r="C99" s="32" t="s">
        <v>31</v>
      </c>
      <c r="D99" s="33" t="s">
        <v>138</v>
      </c>
      <c r="E99" s="34"/>
      <c r="F99" s="35"/>
      <c r="G99" s="36"/>
      <c r="H99" s="37" t="s">
        <v>148</v>
      </c>
      <c r="I99" s="38"/>
      <c r="J99" s="44"/>
      <c r="K99" s="39">
        <v>6</v>
      </c>
      <c r="L99" s="31">
        <v>11</v>
      </c>
      <c r="M99" s="40">
        <f t="shared" si="2"/>
        <v>0.65999999999999992</v>
      </c>
      <c r="N99" s="41">
        <v>35.53</v>
      </c>
      <c r="O99" s="40">
        <f t="shared" si="3"/>
        <v>23.449799999999996</v>
      </c>
      <c r="P99" s="42" t="s">
        <v>36</v>
      </c>
      <c r="Q99" t="s">
        <v>22</v>
      </c>
      <c r="S99" t="s">
        <v>143</v>
      </c>
    </row>
    <row r="100" spans="1:19" x14ac:dyDescent="0.25">
      <c r="A100" s="30">
        <v>46282</v>
      </c>
      <c r="B100" s="48">
        <v>92</v>
      </c>
      <c r="C100" s="32" t="s">
        <v>31</v>
      </c>
      <c r="D100" s="33" t="s">
        <v>144</v>
      </c>
      <c r="E100" s="34"/>
      <c r="F100" s="35"/>
      <c r="G100" s="36" t="s">
        <v>145</v>
      </c>
      <c r="H100" s="43"/>
      <c r="I100" s="38"/>
      <c r="J100" s="44"/>
      <c r="K100" s="39">
        <v>23</v>
      </c>
      <c r="L100" s="31">
        <v>11</v>
      </c>
      <c r="M100" s="40">
        <f t="shared" si="2"/>
        <v>2.5300000000000002</v>
      </c>
      <c r="N100" s="41">
        <v>35.53</v>
      </c>
      <c r="O100" s="40">
        <f t="shared" si="3"/>
        <v>89.890900000000016</v>
      </c>
      <c r="P100" s="42" t="s">
        <v>36</v>
      </c>
      <c r="R100" t="s">
        <v>23</v>
      </c>
      <c r="S100" t="s">
        <v>90</v>
      </c>
    </row>
    <row r="101" spans="1:19" x14ac:dyDescent="0.25">
      <c r="A101" s="30">
        <v>46283</v>
      </c>
      <c r="B101" s="48">
        <v>93</v>
      </c>
      <c r="C101" s="32" t="s">
        <v>31</v>
      </c>
      <c r="D101" s="33" t="s">
        <v>119</v>
      </c>
      <c r="E101" s="34" t="s">
        <v>32</v>
      </c>
      <c r="F101" s="32"/>
      <c r="G101" s="36"/>
      <c r="H101" s="43"/>
      <c r="I101" s="38"/>
      <c r="J101" s="44"/>
      <c r="K101" s="39">
        <v>20</v>
      </c>
      <c r="L101" s="31">
        <v>11</v>
      </c>
      <c r="M101" s="40">
        <f t="shared" si="2"/>
        <v>2.2000000000000002</v>
      </c>
      <c r="N101" s="41">
        <v>35.53</v>
      </c>
      <c r="O101" s="40">
        <f t="shared" si="3"/>
        <v>78.166000000000011</v>
      </c>
      <c r="P101" s="42" t="s">
        <v>43</v>
      </c>
      <c r="R101" t="s">
        <v>23</v>
      </c>
    </row>
    <row r="102" spans="1:19" x14ac:dyDescent="0.25">
      <c r="A102" s="30">
        <v>46283</v>
      </c>
      <c r="B102" s="48">
        <v>94</v>
      </c>
      <c r="C102" s="32" t="s">
        <v>31</v>
      </c>
      <c r="D102" s="33" t="s">
        <v>71</v>
      </c>
      <c r="E102" s="34"/>
      <c r="F102" s="32" t="s">
        <v>32</v>
      </c>
      <c r="G102" s="36"/>
      <c r="H102" s="37"/>
      <c r="I102" s="38"/>
      <c r="J102" s="44"/>
      <c r="K102" s="39">
        <v>34</v>
      </c>
      <c r="L102" s="31">
        <v>11</v>
      </c>
      <c r="M102" s="40">
        <f t="shared" si="2"/>
        <v>3.74</v>
      </c>
      <c r="N102" s="41">
        <v>35.53</v>
      </c>
      <c r="O102" s="40">
        <f t="shared" si="3"/>
        <v>132.88220000000001</v>
      </c>
      <c r="P102" s="42" t="s">
        <v>33</v>
      </c>
      <c r="R102" t="s">
        <v>23</v>
      </c>
    </row>
    <row r="103" spans="1:19" x14ac:dyDescent="0.25">
      <c r="A103" s="30">
        <v>46284</v>
      </c>
      <c r="B103" s="48">
        <v>95</v>
      </c>
      <c r="C103" s="32" t="s">
        <v>31</v>
      </c>
      <c r="D103" s="33" t="s">
        <v>57</v>
      </c>
      <c r="E103" s="34"/>
      <c r="F103" s="35"/>
      <c r="G103" s="36" t="s">
        <v>41</v>
      </c>
      <c r="H103" s="37"/>
      <c r="I103" s="38"/>
      <c r="J103" s="36"/>
      <c r="K103" s="39">
        <v>40</v>
      </c>
      <c r="L103" s="31">
        <v>11</v>
      </c>
      <c r="M103" s="40">
        <f t="shared" si="2"/>
        <v>4.4000000000000004</v>
      </c>
      <c r="N103" s="41">
        <v>36.11</v>
      </c>
      <c r="O103" s="40">
        <f t="shared" si="3"/>
        <v>158.88400000000001</v>
      </c>
      <c r="P103" s="42" t="s">
        <v>33</v>
      </c>
      <c r="R103" t="s">
        <v>23</v>
      </c>
    </row>
    <row r="104" spans="1:19" x14ac:dyDescent="0.25">
      <c r="A104" s="30">
        <v>46284</v>
      </c>
      <c r="B104" s="48">
        <v>96</v>
      </c>
      <c r="C104" s="32" t="s">
        <v>31</v>
      </c>
      <c r="D104" s="33" t="s">
        <v>146</v>
      </c>
      <c r="E104" s="34" t="s">
        <v>32</v>
      </c>
      <c r="F104" s="32"/>
      <c r="G104" s="36"/>
      <c r="H104" s="43"/>
      <c r="I104" s="38"/>
      <c r="J104" s="44"/>
      <c r="K104" s="39">
        <v>8</v>
      </c>
      <c r="L104" s="31">
        <v>11</v>
      </c>
      <c r="M104" s="40">
        <f>K104/100*L104</f>
        <v>0.88</v>
      </c>
      <c r="N104" s="41">
        <v>36.11</v>
      </c>
      <c r="O104" s="40">
        <f t="shared" si="3"/>
        <v>31.776799999999998</v>
      </c>
      <c r="P104" s="42" t="s">
        <v>33</v>
      </c>
      <c r="Q104" t="s">
        <v>22</v>
      </c>
    </row>
    <row r="105" spans="1:19" x14ac:dyDescent="0.25">
      <c r="A105" s="30">
        <v>46284</v>
      </c>
      <c r="B105" s="48">
        <v>97</v>
      </c>
      <c r="C105" s="32" t="s">
        <v>31</v>
      </c>
      <c r="D105" s="33" t="s">
        <v>88</v>
      </c>
      <c r="E105" s="34" t="s">
        <v>32</v>
      </c>
      <c r="F105" s="35"/>
      <c r="G105" s="36"/>
      <c r="H105" s="43"/>
      <c r="I105" s="38">
        <v>40</v>
      </c>
      <c r="J105" s="44"/>
      <c r="K105" s="39">
        <v>28</v>
      </c>
      <c r="L105" s="31">
        <v>11</v>
      </c>
      <c r="M105" s="40">
        <f t="shared" ref="M105:M108" si="4">K105/100*L105</f>
        <v>3.08</v>
      </c>
      <c r="N105" s="41">
        <v>36.11</v>
      </c>
      <c r="O105" s="40">
        <f t="shared" si="3"/>
        <v>111.2188</v>
      </c>
      <c r="P105" s="42" t="s">
        <v>33</v>
      </c>
      <c r="R105" t="s">
        <v>23</v>
      </c>
    </row>
    <row r="106" spans="1:19" x14ac:dyDescent="0.25">
      <c r="A106" s="30">
        <v>46284</v>
      </c>
      <c r="B106" s="48">
        <v>98</v>
      </c>
      <c r="C106" s="32" t="s">
        <v>31</v>
      </c>
      <c r="D106" s="33" t="s">
        <v>66</v>
      </c>
      <c r="E106" s="34" t="s">
        <v>32</v>
      </c>
      <c r="F106" s="32"/>
      <c r="G106" s="36"/>
      <c r="H106" s="43"/>
      <c r="I106" s="38"/>
      <c r="J106" s="44"/>
      <c r="K106" s="39">
        <v>60</v>
      </c>
      <c r="L106" s="31">
        <v>11</v>
      </c>
      <c r="M106" s="40">
        <f t="shared" si="4"/>
        <v>6.6</v>
      </c>
      <c r="N106" s="41">
        <v>36.11</v>
      </c>
      <c r="O106" s="40">
        <f t="shared" si="3"/>
        <v>238.32599999999999</v>
      </c>
      <c r="P106" s="42" t="s">
        <v>33</v>
      </c>
      <c r="R106" t="s">
        <v>23</v>
      </c>
    </row>
    <row r="107" spans="1:19" x14ac:dyDescent="0.25">
      <c r="A107" s="30">
        <v>46284</v>
      </c>
      <c r="B107" s="48">
        <v>99</v>
      </c>
      <c r="C107" s="32" t="s">
        <v>31</v>
      </c>
      <c r="D107" s="33" t="s">
        <v>102</v>
      </c>
      <c r="E107" s="34" t="s">
        <v>32</v>
      </c>
      <c r="F107" s="32"/>
      <c r="G107" s="36"/>
      <c r="H107" s="37"/>
      <c r="I107" s="38"/>
      <c r="J107" s="44"/>
      <c r="K107" s="39">
        <v>43</v>
      </c>
      <c r="L107" s="31">
        <v>11</v>
      </c>
      <c r="M107" s="40">
        <f t="shared" si="4"/>
        <v>4.7299999999999995</v>
      </c>
      <c r="N107" s="41">
        <v>36.11</v>
      </c>
      <c r="O107" s="40">
        <f t="shared" si="3"/>
        <v>170.80029999999999</v>
      </c>
      <c r="P107" s="42" t="s">
        <v>33</v>
      </c>
      <c r="R107" t="s">
        <v>23</v>
      </c>
    </row>
    <row r="108" spans="1:19" x14ac:dyDescent="0.25">
      <c r="A108" s="30">
        <v>46284</v>
      </c>
      <c r="B108" s="48">
        <v>100</v>
      </c>
      <c r="C108" s="32" t="s">
        <v>31</v>
      </c>
      <c r="D108" s="33" t="s">
        <v>69</v>
      </c>
      <c r="E108" s="34" t="s">
        <v>32</v>
      </c>
      <c r="F108" s="35"/>
      <c r="G108" s="36"/>
      <c r="H108" s="37"/>
      <c r="I108" s="38"/>
      <c r="J108" s="36"/>
      <c r="K108" s="39">
        <v>14</v>
      </c>
      <c r="L108" s="31">
        <v>11</v>
      </c>
      <c r="M108" s="40">
        <f t="shared" si="4"/>
        <v>1.54</v>
      </c>
      <c r="N108" s="41">
        <v>36.11</v>
      </c>
      <c r="O108" s="40">
        <f t="shared" si="3"/>
        <v>55.609400000000001</v>
      </c>
      <c r="P108" s="42" t="s">
        <v>33</v>
      </c>
      <c r="R108" t="s">
        <v>23</v>
      </c>
    </row>
    <row r="109" spans="1:19" x14ac:dyDescent="0.25">
      <c r="A109" s="30">
        <v>46284</v>
      </c>
      <c r="B109" s="48">
        <v>101</v>
      </c>
      <c r="C109" s="32" t="s">
        <v>31</v>
      </c>
      <c r="D109" s="33" t="s">
        <v>147</v>
      </c>
      <c r="E109" s="34" t="s">
        <v>32</v>
      </c>
      <c r="F109" s="32"/>
      <c r="G109" s="36"/>
      <c r="H109" s="43"/>
      <c r="I109" s="38"/>
      <c r="J109" s="44"/>
      <c r="K109" s="39">
        <v>8</v>
      </c>
      <c r="L109" s="31">
        <v>11</v>
      </c>
      <c r="M109" s="40">
        <f>K109/100*L109</f>
        <v>0.88</v>
      </c>
      <c r="N109" s="41">
        <v>36.11</v>
      </c>
      <c r="O109" s="40">
        <f t="shared" si="3"/>
        <v>31.776799999999998</v>
      </c>
      <c r="P109" s="42" t="s">
        <v>36</v>
      </c>
      <c r="Q109" t="s">
        <v>22</v>
      </c>
      <c r="S109" t="s">
        <v>53</v>
      </c>
    </row>
    <row r="110" spans="1:19" x14ac:dyDescent="0.25">
      <c r="A110" s="30">
        <v>46284</v>
      </c>
      <c r="B110" s="48">
        <v>102</v>
      </c>
      <c r="C110" s="32" t="s">
        <v>31</v>
      </c>
      <c r="D110" s="33" t="s">
        <v>93</v>
      </c>
      <c r="E110" s="38"/>
      <c r="F110" s="32"/>
      <c r="G110" s="36" t="s">
        <v>34</v>
      </c>
      <c r="H110" s="37"/>
      <c r="I110" s="34"/>
      <c r="J110" s="44"/>
      <c r="K110" s="39">
        <v>17</v>
      </c>
      <c r="L110" s="31">
        <v>11</v>
      </c>
      <c r="M110" s="40">
        <f>K110/100*L110</f>
        <v>1.87</v>
      </c>
      <c r="N110" s="41">
        <v>36.11</v>
      </c>
      <c r="O110" s="40">
        <f t="shared" si="3"/>
        <v>67.525700000000001</v>
      </c>
      <c r="P110" s="42" t="s">
        <v>33</v>
      </c>
      <c r="R110" t="s">
        <v>23</v>
      </c>
    </row>
    <row r="111" spans="1:19" x14ac:dyDescent="0.25">
      <c r="A111" s="30">
        <v>46285</v>
      </c>
      <c r="B111" s="48">
        <v>103</v>
      </c>
      <c r="C111" s="32" t="s">
        <v>31</v>
      </c>
      <c r="D111" s="33" t="s">
        <v>78</v>
      </c>
      <c r="E111" s="34"/>
      <c r="F111" s="32"/>
      <c r="G111" s="36"/>
      <c r="H111" s="43"/>
      <c r="I111" s="38"/>
      <c r="J111" s="44" t="s">
        <v>58</v>
      </c>
      <c r="K111" s="39">
        <v>44</v>
      </c>
      <c r="L111" s="31">
        <v>11</v>
      </c>
      <c r="M111" s="40">
        <f t="shared" si="2"/>
        <v>4.84</v>
      </c>
      <c r="N111" s="41">
        <v>36.11</v>
      </c>
      <c r="O111" s="40">
        <f t="shared" si="3"/>
        <v>174.7724</v>
      </c>
      <c r="P111" s="42" t="s">
        <v>36</v>
      </c>
      <c r="R111" t="s">
        <v>23</v>
      </c>
      <c r="S111" t="s">
        <v>44</v>
      </c>
    </row>
    <row r="112" spans="1:19" x14ac:dyDescent="0.25">
      <c r="A112" s="30">
        <v>46286</v>
      </c>
      <c r="B112" s="48">
        <v>104</v>
      </c>
      <c r="C112" s="32" t="s">
        <v>31</v>
      </c>
      <c r="D112" s="33" t="s">
        <v>83</v>
      </c>
      <c r="E112" s="34" t="s">
        <v>32</v>
      </c>
      <c r="F112" s="35"/>
      <c r="G112" s="36" t="s">
        <v>149</v>
      </c>
      <c r="H112" s="37"/>
      <c r="I112" s="38"/>
      <c r="J112" s="44"/>
      <c r="K112" s="39">
        <v>68</v>
      </c>
      <c r="L112" s="31">
        <v>11</v>
      </c>
      <c r="M112" s="40">
        <f t="shared" si="2"/>
        <v>7.48</v>
      </c>
      <c r="N112" s="41">
        <v>36.11</v>
      </c>
      <c r="O112" s="40">
        <f t="shared" si="3"/>
        <v>270.1028</v>
      </c>
      <c r="P112" s="42" t="s">
        <v>33</v>
      </c>
      <c r="R112" t="s">
        <v>23</v>
      </c>
    </row>
    <row r="113" spans="1:19" x14ac:dyDescent="0.25">
      <c r="A113" s="30">
        <v>46286</v>
      </c>
      <c r="B113" s="48">
        <v>105</v>
      </c>
      <c r="C113" s="32" t="s">
        <v>31</v>
      </c>
      <c r="D113" s="33" t="s">
        <v>71</v>
      </c>
      <c r="E113" s="34" t="s">
        <v>32</v>
      </c>
      <c r="F113" s="35"/>
      <c r="G113" s="36"/>
      <c r="H113" s="37"/>
      <c r="I113" s="38"/>
      <c r="J113" s="36"/>
      <c r="K113" s="39">
        <v>34</v>
      </c>
      <c r="L113" s="31">
        <v>11</v>
      </c>
      <c r="M113" s="40">
        <f t="shared" si="2"/>
        <v>3.74</v>
      </c>
      <c r="N113" s="41">
        <v>36.11</v>
      </c>
      <c r="O113" s="40">
        <f t="shared" si="3"/>
        <v>135.0514</v>
      </c>
      <c r="P113" s="42" t="s">
        <v>33</v>
      </c>
      <c r="R113" t="s">
        <v>23</v>
      </c>
    </row>
    <row r="114" spans="1:19" x14ac:dyDescent="0.25">
      <c r="A114" s="30">
        <v>46286</v>
      </c>
      <c r="B114" s="48">
        <v>106</v>
      </c>
      <c r="C114" s="32" t="s">
        <v>31</v>
      </c>
      <c r="D114" s="33" t="s">
        <v>35</v>
      </c>
      <c r="E114" s="34"/>
      <c r="F114" s="32"/>
      <c r="G114" s="36" t="s">
        <v>55</v>
      </c>
      <c r="H114" s="43"/>
      <c r="I114" s="38"/>
      <c r="J114" s="44"/>
      <c r="K114" s="39">
        <v>88</v>
      </c>
      <c r="L114" s="31">
        <v>11</v>
      </c>
      <c r="M114" s="40">
        <f>K114/100*L114</f>
        <v>9.68</v>
      </c>
      <c r="N114" s="41">
        <v>36.11</v>
      </c>
      <c r="O114" s="40">
        <f t="shared" si="3"/>
        <v>349.54480000000001</v>
      </c>
      <c r="P114" s="42" t="s">
        <v>36</v>
      </c>
      <c r="R114" t="s">
        <v>23</v>
      </c>
      <c r="S114" t="s">
        <v>47</v>
      </c>
    </row>
    <row r="115" spans="1:19" x14ac:dyDescent="0.25">
      <c r="A115" s="30">
        <v>46286</v>
      </c>
      <c r="B115" s="48">
        <v>107</v>
      </c>
      <c r="C115" s="32" t="s">
        <v>31</v>
      </c>
      <c r="D115" s="46" t="s">
        <v>150</v>
      </c>
      <c r="E115" s="38"/>
      <c r="F115" s="32"/>
      <c r="G115" s="36" t="s">
        <v>151</v>
      </c>
      <c r="H115" s="37"/>
      <c r="I115" s="34"/>
      <c r="J115" s="44"/>
      <c r="K115" s="39">
        <v>12</v>
      </c>
      <c r="L115" s="31">
        <v>11</v>
      </c>
      <c r="M115" s="40">
        <f>K115/100*L115</f>
        <v>1.3199999999999998</v>
      </c>
      <c r="N115" s="41">
        <v>36.11</v>
      </c>
      <c r="O115" s="40">
        <f t="shared" si="3"/>
        <v>47.665199999999992</v>
      </c>
      <c r="P115" s="42" t="s">
        <v>36</v>
      </c>
      <c r="Q115" t="s">
        <v>22</v>
      </c>
      <c r="S115" t="s">
        <v>44</v>
      </c>
    </row>
    <row r="116" spans="1:19" x14ac:dyDescent="0.25">
      <c r="A116" s="30">
        <v>46287</v>
      </c>
      <c r="B116" s="48">
        <v>108</v>
      </c>
      <c r="C116" s="32" t="s">
        <v>31</v>
      </c>
      <c r="D116" s="33" t="s">
        <v>152</v>
      </c>
      <c r="E116" s="34"/>
      <c r="F116" s="32"/>
      <c r="G116" s="36" t="s">
        <v>65</v>
      </c>
      <c r="H116" s="43"/>
      <c r="I116" s="38"/>
      <c r="J116" s="44"/>
      <c r="K116" s="39">
        <v>6</v>
      </c>
      <c r="L116" s="31">
        <v>11</v>
      </c>
      <c r="M116" s="40">
        <f t="shared" ref="M116:M179" si="5">K116/100*L116</f>
        <v>0.65999999999999992</v>
      </c>
      <c r="N116" s="41">
        <v>36.11</v>
      </c>
      <c r="O116" s="40">
        <f t="shared" si="3"/>
        <v>23.832599999999996</v>
      </c>
      <c r="P116" s="42" t="s">
        <v>33</v>
      </c>
      <c r="Q116" t="s">
        <v>22</v>
      </c>
    </row>
    <row r="117" spans="1:19" x14ac:dyDescent="0.25">
      <c r="A117" s="30">
        <v>46287</v>
      </c>
      <c r="B117" s="48">
        <v>109</v>
      </c>
      <c r="C117" s="32" t="s">
        <v>31</v>
      </c>
      <c r="D117" s="33" t="s">
        <v>74</v>
      </c>
      <c r="E117" s="34" t="s">
        <v>32</v>
      </c>
      <c r="F117" s="35"/>
      <c r="G117" s="36"/>
      <c r="H117" s="37"/>
      <c r="I117" s="38"/>
      <c r="J117" s="44"/>
      <c r="K117" s="39">
        <v>20</v>
      </c>
      <c r="L117" s="31">
        <v>11</v>
      </c>
      <c r="M117" s="40">
        <f t="shared" si="5"/>
        <v>2.2000000000000002</v>
      </c>
      <c r="N117" s="41">
        <v>36.11</v>
      </c>
      <c r="O117" s="40">
        <f t="shared" si="3"/>
        <v>79.442000000000007</v>
      </c>
      <c r="P117" s="42" t="s">
        <v>33</v>
      </c>
      <c r="R117" t="s">
        <v>23</v>
      </c>
    </row>
    <row r="118" spans="1:19" x14ac:dyDescent="0.25">
      <c r="A118" s="30">
        <v>46287</v>
      </c>
      <c r="B118" s="48">
        <v>110</v>
      </c>
      <c r="C118" s="32" t="s">
        <v>31</v>
      </c>
      <c r="D118" s="33" t="s">
        <v>153</v>
      </c>
      <c r="E118" s="34" t="s">
        <v>32</v>
      </c>
      <c r="F118" s="35"/>
      <c r="G118" s="36"/>
      <c r="H118" s="43"/>
      <c r="I118" s="38"/>
      <c r="J118" s="44"/>
      <c r="K118" s="39">
        <v>22</v>
      </c>
      <c r="L118" s="31">
        <v>11</v>
      </c>
      <c r="M118" s="40">
        <f t="shared" si="5"/>
        <v>2.42</v>
      </c>
      <c r="N118" s="41">
        <v>36.11</v>
      </c>
      <c r="O118" s="40">
        <f t="shared" si="3"/>
        <v>87.386200000000002</v>
      </c>
      <c r="P118" s="42" t="s">
        <v>33</v>
      </c>
      <c r="R118" t="s">
        <v>23</v>
      </c>
    </row>
    <row r="119" spans="1:19" x14ac:dyDescent="0.25">
      <c r="A119" s="30">
        <v>46287</v>
      </c>
      <c r="B119" s="48">
        <v>111</v>
      </c>
      <c r="C119" s="32" t="s">
        <v>31</v>
      </c>
      <c r="D119" s="33" t="s">
        <v>61</v>
      </c>
      <c r="E119" s="34"/>
      <c r="F119" s="35"/>
      <c r="G119" s="36" t="s">
        <v>34</v>
      </c>
      <c r="H119" s="37"/>
      <c r="I119" s="38"/>
      <c r="J119" s="36"/>
      <c r="K119" s="39">
        <v>22</v>
      </c>
      <c r="L119" s="31">
        <v>11</v>
      </c>
      <c r="M119" s="40">
        <f t="shared" si="5"/>
        <v>2.42</v>
      </c>
      <c r="N119" s="41">
        <v>36.11</v>
      </c>
      <c r="O119" s="40">
        <f t="shared" si="3"/>
        <v>87.386200000000002</v>
      </c>
      <c r="P119" s="42" t="s">
        <v>36</v>
      </c>
      <c r="R119" t="s">
        <v>23</v>
      </c>
      <c r="S119" t="s">
        <v>37</v>
      </c>
    </row>
    <row r="120" spans="1:19" x14ac:dyDescent="0.25">
      <c r="A120" s="30">
        <v>46287</v>
      </c>
      <c r="B120" s="48">
        <v>112</v>
      </c>
      <c r="C120" s="32" t="s">
        <v>31</v>
      </c>
      <c r="D120" s="33" t="s">
        <v>154</v>
      </c>
      <c r="E120" s="34"/>
      <c r="F120" s="35"/>
      <c r="G120" s="36" t="s">
        <v>65</v>
      </c>
      <c r="H120" s="43"/>
      <c r="I120" s="38"/>
      <c r="J120" s="44"/>
      <c r="K120" s="39">
        <v>12</v>
      </c>
      <c r="L120" s="31">
        <v>11</v>
      </c>
      <c r="M120" s="40">
        <f t="shared" si="5"/>
        <v>1.3199999999999998</v>
      </c>
      <c r="N120" s="41">
        <v>36.11</v>
      </c>
      <c r="O120" s="40">
        <f t="shared" si="3"/>
        <v>47.665199999999992</v>
      </c>
      <c r="P120" s="42" t="s">
        <v>36</v>
      </c>
      <c r="Q120" t="s">
        <v>22</v>
      </c>
      <c r="S120" t="s">
        <v>44</v>
      </c>
    </row>
    <row r="121" spans="1:19" x14ac:dyDescent="0.25">
      <c r="A121" s="30">
        <v>46288</v>
      </c>
      <c r="B121" s="48">
        <v>113</v>
      </c>
      <c r="C121" s="32" t="s">
        <v>31</v>
      </c>
      <c r="D121" s="33" t="s">
        <v>40</v>
      </c>
      <c r="E121" s="34"/>
      <c r="F121" s="32"/>
      <c r="G121" s="36" t="s">
        <v>155</v>
      </c>
      <c r="H121" s="43"/>
      <c r="I121" s="38"/>
      <c r="J121" s="44"/>
      <c r="K121" s="39">
        <v>55</v>
      </c>
      <c r="L121" s="31">
        <v>11</v>
      </c>
      <c r="M121" s="40">
        <f t="shared" si="5"/>
        <v>6.0500000000000007</v>
      </c>
      <c r="N121" s="41">
        <v>36.11</v>
      </c>
      <c r="O121" s="40">
        <f t="shared" si="3"/>
        <v>218.46550000000002</v>
      </c>
      <c r="P121" s="42" t="s">
        <v>36</v>
      </c>
      <c r="R121" t="s">
        <v>23</v>
      </c>
      <c r="S121" t="s">
        <v>59</v>
      </c>
    </row>
    <row r="122" spans="1:19" x14ac:dyDescent="0.25">
      <c r="A122" s="30">
        <v>46288</v>
      </c>
      <c r="B122" s="48">
        <v>114</v>
      </c>
      <c r="C122" s="32" t="s">
        <v>31</v>
      </c>
      <c r="D122" s="33" t="s">
        <v>105</v>
      </c>
      <c r="E122" s="34"/>
      <c r="F122" s="35"/>
      <c r="G122" s="36" t="s">
        <v>34</v>
      </c>
      <c r="H122" s="43"/>
      <c r="I122" s="38"/>
      <c r="J122" s="36"/>
      <c r="K122" s="39">
        <v>40</v>
      </c>
      <c r="L122" s="31">
        <v>11</v>
      </c>
      <c r="M122" s="40">
        <f t="shared" si="5"/>
        <v>4.4000000000000004</v>
      </c>
      <c r="N122" s="41">
        <v>36.630000000000003</v>
      </c>
      <c r="O122" s="40">
        <f t="shared" si="3"/>
        <v>161.17200000000003</v>
      </c>
      <c r="P122" s="42" t="s">
        <v>36</v>
      </c>
      <c r="R122" t="s">
        <v>23</v>
      </c>
      <c r="S122" t="s">
        <v>44</v>
      </c>
    </row>
    <row r="123" spans="1:19" x14ac:dyDescent="0.25">
      <c r="A123" s="30">
        <v>46288</v>
      </c>
      <c r="B123" s="48">
        <v>115</v>
      </c>
      <c r="C123" s="32" t="s">
        <v>31</v>
      </c>
      <c r="D123" s="33" t="s">
        <v>156</v>
      </c>
      <c r="E123" s="34"/>
      <c r="F123" s="35"/>
      <c r="G123" s="36" t="s">
        <v>34</v>
      </c>
      <c r="H123" s="43"/>
      <c r="I123" s="38"/>
      <c r="J123" s="44"/>
      <c r="K123" s="39">
        <v>40</v>
      </c>
      <c r="L123" s="31">
        <v>11</v>
      </c>
      <c r="M123" s="40">
        <f t="shared" si="5"/>
        <v>4.4000000000000004</v>
      </c>
      <c r="N123" s="41">
        <v>36.630000000000003</v>
      </c>
      <c r="O123" s="40">
        <f t="shared" si="3"/>
        <v>161.17200000000003</v>
      </c>
      <c r="P123" s="42" t="s">
        <v>33</v>
      </c>
      <c r="R123" t="s">
        <v>23</v>
      </c>
    </row>
    <row r="124" spans="1:19" x14ac:dyDescent="0.25">
      <c r="A124" s="30">
        <v>46288</v>
      </c>
      <c r="B124" s="48">
        <v>116</v>
      </c>
      <c r="C124" s="32" t="s">
        <v>31</v>
      </c>
      <c r="D124" s="33" t="s">
        <v>118</v>
      </c>
      <c r="E124" s="34"/>
      <c r="F124" s="32"/>
      <c r="G124" s="36" t="s">
        <v>149</v>
      </c>
      <c r="H124" s="37"/>
      <c r="I124" s="38"/>
      <c r="J124" s="44"/>
      <c r="K124" s="39">
        <v>46</v>
      </c>
      <c r="L124" s="31">
        <v>11</v>
      </c>
      <c r="M124" s="40">
        <f t="shared" si="5"/>
        <v>5.0600000000000005</v>
      </c>
      <c r="N124" s="41">
        <v>36.630000000000003</v>
      </c>
      <c r="O124" s="40">
        <f t="shared" si="3"/>
        <v>185.34780000000003</v>
      </c>
      <c r="P124" s="42" t="s">
        <v>33</v>
      </c>
      <c r="R124" t="s">
        <v>23</v>
      </c>
    </row>
    <row r="125" spans="1:19" x14ac:dyDescent="0.25">
      <c r="A125" s="30">
        <v>46288</v>
      </c>
      <c r="B125" s="48">
        <v>117</v>
      </c>
      <c r="C125" s="32" t="s">
        <v>31</v>
      </c>
      <c r="D125" s="33" t="s">
        <v>68</v>
      </c>
      <c r="E125" s="34"/>
      <c r="F125" s="35"/>
      <c r="G125" s="36" t="s">
        <v>60</v>
      </c>
      <c r="H125" s="43"/>
      <c r="I125" s="38"/>
      <c r="J125" s="44"/>
      <c r="K125" s="39">
        <v>70</v>
      </c>
      <c r="L125" s="31">
        <v>8</v>
      </c>
      <c r="M125" s="40">
        <f t="shared" si="5"/>
        <v>5.6</v>
      </c>
      <c r="N125" s="41">
        <v>33.799999999999997</v>
      </c>
      <c r="O125" s="40">
        <f t="shared" si="3"/>
        <v>189.27999999999997</v>
      </c>
      <c r="P125" s="42" t="s">
        <v>36</v>
      </c>
      <c r="R125" t="s">
        <v>23</v>
      </c>
      <c r="S125" t="s">
        <v>64</v>
      </c>
    </row>
    <row r="126" spans="1:19" x14ac:dyDescent="0.25">
      <c r="A126" s="30">
        <v>46288</v>
      </c>
      <c r="B126" s="48">
        <v>118</v>
      </c>
      <c r="C126" s="32" t="s">
        <v>31</v>
      </c>
      <c r="D126" s="33" t="s">
        <v>54</v>
      </c>
      <c r="E126" s="34"/>
      <c r="F126" s="35"/>
      <c r="G126" s="36"/>
      <c r="H126" s="37"/>
      <c r="I126" s="38">
        <v>55</v>
      </c>
      <c r="J126" s="36"/>
      <c r="K126" s="39">
        <v>56</v>
      </c>
      <c r="L126" s="31">
        <v>8</v>
      </c>
      <c r="M126" s="40">
        <f t="shared" si="5"/>
        <v>4.4800000000000004</v>
      </c>
      <c r="N126" s="41">
        <v>33.799999999999997</v>
      </c>
      <c r="O126" s="40">
        <f t="shared" si="3"/>
        <v>151.42400000000001</v>
      </c>
      <c r="P126" s="42" t="s">
        <v>36</v>
      </c>
      <c r="R126" t="s">
        <v>23</v>
      </c>
      <c r="S126" t="s">
        <v>44</v>
      </c>
    </row>
    <row r="127" spans="1:19" x14ac:dyDescent="0.25">
      <c r="A127" s="30">
        <v>46289</v>
      </c>
      <c r="B127" s="48">
        <v>119</v>
      </c>
      <c r="C127" s="32" t="s">
        <v>31</v>
      </c>
      <c r="D127" s="33" t="s">
        <v>96</v>
      </c>
      <c r="E127" s="34" t="s">
        <v>32</v>
      </c>
      <c r="F127" s="35"/>
      <c r="G127" s="36" t="s">
        <v>94</v>
      </c>
      <c r="H127" s="37"/>
      <c r="I127" s="38"/>
      <c r="J127" s="36"/>
      <c r="K127" s="39">
        <v>100</v>
      </c>
      <c r="L127" s="31">
        <v>8</v>
      </c>
      <c r="M127" s="40">
        <f t="shared" si="5"/>
        <v>8</v>
      </c>
      <c r="N127" s="41">
        <v>33.799999999999997</v>
      </c>
      <c r="O127" s="40">
        <f t="shared" si="3"/>
        <v>270.39999999999998</v>
      </c>
      <c r="P127" s="42" t="s">
        <v>33</v>
      </c>
      <c r="R127" t="s">
        <v>23</v>
      </c>
    </row>
    <row r="128" spans="1:19" x14ac:dyDescent="0.25">
      <c r="A128" s="30">
        <v>46289</v>
      </c>
      <c r="B128" s="48">
        <v>120</v>
      </c>
      <c r="C128" s="32" t="s">
        <v>31</v>
      </c>
      <c r="D128" s="33" t="s">
        <v>61</v>
      </c>
      <c r="E128" s="34" t="s">
        <v>32</v>
      </c>
      <c r="F128" s="32"/>
      <c r="G128" s="36" t="s">
        <v>157</v>
      </c>
      <c r="H128" s="43"/>
      <c r="I128" s="38"/>
      <c r="J128" s="44"/>
      <c r="K128" s="39">
        <v>22</v>
      </c>
      <c r="L128" s="31">
        <v>8</v>
      </c>
      <c r="M128" s="40">
        <f t="shared" si="5"/>
        <v>1.76</v>
      </c>
      <c r="N128" s="41">
        <v>33.799999999999997</v>
      </c>
      <c r="O128" s="40">
        <f t="shared" si="3"/>
        <v>59.487999999999992</v>
      </c>
      <c r="P128" s="42" t="s">
        <v>33</v>
      </c>
      <c r="R128" t="s">
        <v>23</v>
      </c>
    </row>
    <row r="129" spans="1:19" x14ac:dyDescent="0.25">
      <c r="A129" s="30">
        <v>46289</v>
      </c>
      <c r="B129" s="48">
        <v>121</v>
      </c>
      <c r="C129" s="32" t="s">
        <v>31</v>
      </c>
      <c r="D129" s="33" t="s">
        <v>158</v>
      </c>
      <c r="E129" s="34"/>
      <c r="F129" s="35"/>
      <c r="G129" s="36" t="s">
        <v>149</v>
      </c>
      <c r="H129" s="43"/>
      <c r="I129" s="38"/>
      <c r="J129" s="36"/>
      <c r="K129" s="39">
        <v>6</v>
      </c>
      <c r="L129" s="31">
        <v>8</v>
      </c>
      <c r="M129" s="40">
        <f t="shared" si="5"/>
        <v>0.48</v>
      </c>
      <c r="N129" s="41">
        <v>33.799999999999997</v>
      </c>
      <c r="O129" s="40">
        <f t="shared" si="3"/>
        <v>16.223999999999997</v>
      </c>
      <c r="P129" s="42" t="s">
        <v>33</v>
      </c>
      <c r="Q129" t="s">
        <v>22</v>
      </c>
    </row>
    <row r="130" spans="1:19" x14ac:dyDescent="0.25">
      <c r="A130" s="30">
        <v>46289</v>
      </c>
      <c r="B130" s="48">
        <v>122</v>
      </c>
      <c r="C130" s="32" t="s">
        <v>31</v>
      </c>
      <c r="D130" s="33" t="s">
        <v>118</v>
      </c>
      <c r="E130" s="34"/>
      <c r="F130" s="35"/>
      <c r="G130" s="36" t="s">
        <v>34</v>
      </c>
      <c r="H130" s="43"/>
      <c r="I130" s="38"/>
      <c r="J130" s="44"/>
      <c r="K130" s="39">
        <v>24</v>
      </c>
      <c r="L130" s="31">
        <v>8</v>
      </c>
      <c r="M130" s="40">
        <f t="shared" si="5"/>
        <v>1.92</v>
      </c>
      <c r="N130" s="41">
        <v>33.799999999999997</v>
      </c>
      <c r="O130" s="40">
        <f t="shared" si="3"/>
        <v>64.895999999999987</v>
      </c>
      <c r="P130" s="42" t="s">
        <v>36</v>
      </c>
      <c r="R130" t="s">
        <v>23</v>
      </c>
      <c r="S130" t="s">
        <v>44</v>
      </c>
    </row>
    <row r="131" spans="1:19" x14ac:dyDescent="0.25">
      <c r="A131" s="30">
        <v>46198</v>
      </c>
      <c r="B131" s="48">
        <v>123</v>
      </c>
      <c r="C131" s="32" t="s">
        <v>31</v>
      </c>
      <c r="D131" s="33" t="s">
        <v>159</v>
      </c>
      <c r="E131" s="34"/>
      <c r="F131" s="32"/>
      <c r="G131" s="36" t="s">
        <v>34</v>
      </c>
      <c r="H131" s="37"/>
      <c r="I131" s="38"/>
      <c r="J131" s="44"/>
      <c r="K131" s="39">
        <v>68</v>
      </c>
      <c r="L131" s="31">
        <v>8</v>
      </c>
      <c r="M131" s="40">
        <f t="shared" si="5"/>
        <v>5.44</v>
      </c>
      <c r="N131" s="41">
        <v>34.19</v>
      </c>
      <c r="O131" s="40">
        <f t="shared" si="3"/>
        <v>185.99360000000001</v>
      </c>
      <c r="P131" s="42" t="s">
        <v>36</v>
      </c>
      <c r="R131" t="s">
        <v>23</v>
      </c>
      <c r="S131" t="s">
        <v>100</v>
      </c>
    </row>
    <row r="132" spans="1:19" x14ac:dyDescent="0.25">
      <c r="A132" s="30">
        <v>46198</v>
      </c>
      <c r="B132" s="48">
        <v>124</v>
      </c>
      <c r="C132" s="32" t="s">
        <v>31</v>
      </c>
      <c r="D132" s="33" t="s">
        <v>160</v>
      </c>
      <c r="E132" s="34"/>
      <c r="F132" s="35"/>
      <c r="G132" s="36" t="s">
        <v>34</v>
      </c>
      <c r="H132" s="43"/>
      <c r="I132" s="38"/>
      <c r="J132" s="44"/>
      <c r="K132" s="39">
        <v>8</v>
      </c>
      <c r="L132" s="31">
        <v>8</v>
      </c>
      <c r="M132" s="40">
        <f t="shared" si="5"/>
        <v>0.64</v>
      </c>
      <c r="N132" s="41">
        <v>34.19</v>
      </c>
      <c r="O132" s="40">
        <f t="shared" si="3"/>
        <v>21.881599999999999</v>
      </c>
      <c r="P132" s="42" t="s">
        <v>33</v>
      </c>
      <c r="Q132" t="s">
        <v>22</v>
      </c>
    </row>
    <row r="133" spans="1:19" x14ac:dyDescent="0.25">
      <c r="A133" s="30">
        <v>46198</v>
      </c>
      <c r="B133" s="48">
        <v>125</v>
      </c>
      <c r="C133" s="32" t="s">
        <v>31</v>
      </c>
      <c r="D133" s="33" t="s">
        <v>49</v>
      </c>
      <c r="E133" s="34"/>
      <c r="F133" s="35"/>
      <c r="G133" s="36" t="s">
        <v>34</v>
      </c>
      <c r="H133" s="37"/>
      <c r="I133" s="38"/>
      <c r="J133" s="36"/>
      <c r="K133" s="39">
        <v>30</v>
      </c>
      <c r="L133" s="31">
        <v>8</v>
      </c>
      <c r="M133" s="40">
        <f t="shared" si="5"/>
        <v>2.4</v>
      </c>
      <c r="N133" s="41">
        <v>34.19</v>
      </c>
      <c r="O133" s="40">
        <f t="shared" si="3"/>
        <v>82.055999999999997</v>
      </c>
      <c r="P133" s="42" t="s">
        <v>33</v>
      </c>
      <c r="R133" t="s">
        <v>23</v>
      </c>
    </row>
    <row r="134" spans="1:19" x14ac:dyDescent="0.25">
      <c r="A134" s="30">
        <v>46198</v>
      </c>
      <c r="B134" s="48">
        <v>126</v>
      </c>
      <c r="C134" s="32" t="s">
        <v>31</v>
      </c>
      <c r="D134" s="33" t="s">
        <v>161</v>
      </c>
      <c r="E134" s="34"/>
      <c r="F134" s="35"/>
      <c r="G134" s="36" t="s">
        <v>55</v>
      </c>
      <c r="H134" s="37"/>
      <c r="I134" s="38"/>
      <c r="J134" s="36"/>
      <c r="K134" s="39">
        <v>12</v>
      </c>
      <c r="L134" s="31">
        <v>8</v>
      </c>
      <c r="M134" s="40">
        <f t="shared" si="5"/>
        <v>0.96</v>
      </c>
      <c r="N134" s="41">
        <v>34.19</v>
      </c>
      <c r="O134" s="40">
        <f t="shared" si="3"/>
        <v>32.822399999999995</v>
      </c>
      <c r="P134" s="42" t="s">
        <v>33</v>
      </c>
      <c r="Q134" t="s">
        <v>22</v>
      </c>
    </row>
    <row r="135" spans="1:19" x14ac:dyDescent="0.25">
      <c r="A135" s="30">
        <v>46198</v>
      </c>
      <c r="B135" s="48">
        <v>127</v>
      </c>
      <c r="C135" s="32" t="s">
        <v>31</v>
      </c>
      <c r="D135" s="33" t="s">
        <v>162</v>
      </c>
      <c r="E135" s="34" t="s">
        <v>32</v>
      </c>
      <c r="F135" s="35"/>
      <c r="G135" s="36"/>
      <c r="H135" s="43"/>
      <c r="I135" s="38"/>
      <c r="J135" s="36"/>
      <c r="K135" s="39">
        <v>8</v>
      </c>
      <c r="L135" s="31">
        <v>8</v>
      </c>
      <c r="M135" s="40">
        <f t="shared" si="5"/>
        <v>0.64</v>
      </c>
      <c r="N135" s="41">
        <v>34.19</v>
      </c>
      <c r="O135" s="40">
        <f t="shared" si="3"/>
        <v>21.881599999999999</v>
      </c>
      <c r="P135" s="42" t="s">
        <v>33</v>
      </c>
      <c r="Q135" t="s">
        <v>22</v>
      </c>
    </row>
    <row r="136" spans="1:19" x14ac:dyDescent="0.25">
      <c r="A136" s="30">
        <v>46198</v>
      </c>
      <c r="B136" s="48">
        <v>128</v>
      </c>
      <c r="C136" s="32" t="s">
        <v>31</v>
      </c>
      <c r="D136" s="33" t="s">
        <v>163</v>
      </c>
      <c r="E136" s="34" t="s">
        <v>32</v>
      </c>
      <c r="F136" s="35"/>
      <c r="G136" s="36" t="s">
        <v>34</v>
      </c>
      <c r="H136" s="43"/>
      <c r="I136" s="38"/>
      <c r="J136" s="44"/>
      <c r="K136" s="39">
        <v>2</v>
      </c>
      <c r="L136" s="31">
        <v>8</v>
      </c>
      <c r="M136" s="40">
        <f t="shared" si="5"/>
        <v>0.16</v>
      </c>
      <c r="N136" s="41">
        <v>34.19</v>
      </c>
      <c r="O136" s="40">
        <f t="shared" si="3"/>
        <v>5.4703999999999997</v>
      </c>
      <c r="P136" s="42" t="s">
        <v>33</v>
      </c>
      <c r="Q136" t="s">
        <v>22</v>
      </c>
    </row>
    <row r="137" spans="1:19" x14ac:dyDescent="0.25">
      <c r="A137" s="30">
        <v>46198</v>
      </c>
      <c r="B137" s="48">
        <v>129</v>
      </c>
      <c r="C137" s="32" t="s">
        <v>31</v>
      </c>
      <c r="D137" s="33" t="s">
        <v>61</v>
      </c>
      <c r="E137" s="34" t="s">
        <v>32</v>
      </c>
      <c r="F137" s="32"/>
      <c r="G137" s="36" t="s">
        <v>34</v>
      </c>
      <c r="H137" s="37"/>
      <c r="I137" s="38"/>
      <c r="J137" s="44"/>
      <c r="K137" s="39">
        <v>22</v>
      </c>
      <c r="L137" s="31">
        <v>8</v>
      </c>
      <c r="M137" s="40">
        <f t="shared" si="5"/>
        <v>1.76</v>
      </c>
      <c r="N137" s="41">
        <v>34.19</v>
      </c>
      <c r="O137" s="40">
        <f t="shared" ref="O137:O200" si="6">N137*M137</f>
        <v>60.174399999999999</v>
      </c>
      <c r="P137" s="42" t="s">
        <v>33</v>
      </c>
      <c r="R137" t="s">
        <v>23</v>
      </c>
    </row>
    <row r="138" spans="1:19" x14ac:dyDescent="0.25">
      <c r="A138" s="30">
        <v>46198</v>
      </c>
      <c r="B138" s="48">
        <v>130</v>
      </c>
      <c r="C138" s="32" t="s">
        <v>31</v>
      </c>
      <c r="D138" s="33" t="s">
        <v>164</v>
      </c>
      <c r="E138" s="34"/>
      <c r="F138" s="35"/>
      <c r="G138" s="36" t="s">
        <v>82</v>
      </c>
      <c r="H138" s="43"/>
      <c r="I138" s="38"/>
      <c r="J138" s="44"/>
      <c r="K138" s="39">
        <v>50</v>
      </c>
      <c r="L138" s="31">
        <v>8</v>
      </c>
      <c r="M138" s="40">
        <f t="shared" si="5"/>
        <v>4</v>
      </c>
      <c r="N138" s="41">
        <v>34.19</v>
      </c>
      <c r="O138" s="40">
        <f t="shared" si="6"/>
        <v>136.76</v>
      </c>
      <c r="P138" s="42" t="s">
        <v>36</v>
      </c>
      <c r="R138" t="s">
        <v>23</v>
      </c>
      <c r="S138" t="s">
        <v>44</v>
      </c>
    </row>
    <row r="139" spans="1:19" x14ac:dyDescent="0.25">
      <c r="A139" s="30">
        <v>46198</v>
      </c>
      <c r="B139" s="48">
        <v>131</v>
      </c>
      <c r="C139" s="32" t="s">
        <v>31</v>
      </c>
      <c r="D139" s="33" t="s">
        <v>40</v>
      </c>
      <c r="E139" s="34"/>
      <c r="F139" s="35"/>
      <c r="G139" s="36" t="s">
        <v>55</v>
      </c>
      <c r="H139" s="43"/>
      <c r="I139" s="38"/>
      <c r="J139" s="36"/>
      <c r="K139" s="39">
        <v>70</v>
      </c>
      <c r="L139" s="31">
        <v>8</v>
      </c>
      <c r="M139" s="40">
        <f t="shared" si="5"/>
        <v>5.6</v>
      </c>
      <c r="N139" s="41">
        <v>34.19</v>
      </c>
      <c r="O139" s="40">
        <f t="shared" si="6"/>
        <v>191.46399999999997</v>
      </c>
      <c r="P139" s="42" t="s">
        <v>36</v>
      </c>
      <c r="R139" t="s">
        <v>23</v>
      </c>
      <c r="S139" t="s">
        <v>47</v>
      </c>
    </row>
    <row r="140" spans="1:19" x14ac:dyDescent="0.25">
      <c r="A140" s="30">
        <v>46291</v>
      </c>
      <c r="B140" s="48">
        <v>132</v>
      </c>
      <c r="C140" s="32" t="s">
        <v>31</v>
      </c>
      <c r="D140" s="33" t="s">
        <v>165</v>
      </c>
      <c r="E140" s="34"/>
      <c r="F140" s="35" t="s">
        <v>32</v>
      </c>
      <c r="G140" s="36"/>
      <c r="H140" s="43"/>
      <c r="I140" s="38"/>
      <c r="J140" s="44"/>
      <c r="K140" s="39">
        <v>6</v>
      </c>
      <c r="L140" s="31">
        <v>8</v>
      </c>
      <c r="M140" s="40">
        <f t="shared" si="5"/>
        <v>0.48</v>
      </c>
      <c r="N140" s="41">
        <v>34.28</v>
      </c>
      <c r="O140" s="40">
        <f t="shared" si="6"/>
        <v>16.4544</v>
      </c>
      <c r="P140" s="42" t="s">
        <v>33</v>
      </c>
      <c r="Q140" t="s">
        <v>22</v>
      </c>
    </row>
    <row r="141" spans="1:19" x14ac:dyDescent="0.25">
      <c r="A141" s="30">
        <v>46291</v>
      </c>
      <c r="B141" s="48">
        <v>133</v>
      </c>
      <c r="C141" s="32" t="s">
        <v>31</v>
      </c>
      <c r="D141" s="33" t="s">
        <v>166</v>
      </c>
      <c r="E141" s="34"/>
      <c r="F141" s="32"/>
      <c r="G141" s="36" t="s">
        <v>167</v>
      </c>
      <c r="H141" s="37"/>
      <c r="I141" s="38"/>
      <c r="J141" s="44"/>
      <c r="K141" s="39">
        <v>4</v>
      </c>
      <c r="L141" s="31">
        <v>8</v>
      </c>
      <c r="M141" s="40">
        <f t="shared" si="5"/>
        <v>0.32</v>
      </c>
      <c r="N141" s="41">
        <v>34.28</v>
      </c>
      <c r="O141" s="40">
        <f t="shared" si="6"/>
        <v>10.9696</v>
      </c>
      <c r="P141" s="42" t="s">
        <v>36</v>
      </c>
      <c r="Q141" t="s">
        <v>22</v>
      </c>
      <c r="S141" t="s">
        <v>53</v>
      </c>
    </row>
    <row r="142" spans="1:19" x14ac:dyDescent="0.25">
      <c r="A142" s="30">
        <v>46291</v>
      </c>
      <c r="B142" s="48">
        <v>134</v>
      </c>
      <c r="C142" s="32" t="s">
        <v>31</v>
      </c>
      <c r="D142" s="33" t="s">
        <v>45</v>
      </c>
      <c r="E142" s="34"/>
      <c r="F142" s="35"/>
      <c r="G142" s="36" t="s">
        <v>34</v>
      </c>
      <c r="H142" s="43"/>
      <c r="I142" s="38"/>
      <c r="J142" s="44"/>
      <c r="K142" s="39">
        <v>18</v>
      </c>
      <c r="L142" s="31">
        <v>8</v>
      </c>
      <c r="M142" s="40">
        <f t="shared" si="5"/>
        <v>1.44</v>
      </c>
      <c r="N142" s="41">
        <v>34.28</v>
      </c>
      <c r="O142" s="40">
        <f t="shared" si="6"/>
        <v>49.363199999999999</v>
      </c>
      <c r="P142" s="42" t="s">
        <v>33</v>
      </c>
      <c r="R142" t="s">
        <v>23</v>
      </c>
    </row>
    <row r="143" spans="1:19" x14ac:dyDescent="0.25">
      <c r="A143" s="30">
        <v>46291</v>
      </c>
      <c r="B143" s="48">
        <v>135</v>
      </c>
      <c r="C143" s="32" t="s">
        <v>31</v>
      </c>
      <c r="D143" s="33" t="s">
        <v>78</v>
      </c>
      <c r="E143" s="34"/>
      <c r="F143" s="35"/>
      <c r="G143" s="36" t="s">
        <v>85</v>
      </c>
      <c r="H143" s="37"/>
      <c r="I143" s="38"/>
      <c r="J143" s="36"/>
      <c r="K143" s="39">
        <v>44</v>
      </c>
      <c r="L143" s="31">
        <v>8</v>
      </c>
      <c r="M143" s="40">
        <f t="shared" si="5"/>
        <v>3.52</v>
      </c>
      <c r="N143" s="41">
        <v>34.28</v>
      </c>
      <c r="O143" s="40">
        <f t="shared" si="6"/>
        <v>120.6656</v>
      </c>
      <c r="P143" s="42" t="s">
        <v>33</v>
      </c>
      <c r="R143" t="s">
        <v>23</v>
      </c>
    </row>
    <row r="144" spans="1:19" x14ac:dyDescent="0.25">
      <c r="A144" s="30">
        <v>46292</v>
      </c>
      <c r="B144" s="48">
        <v>136</v>
      </c>
      <c r="C144" s="32" t="s">
        <v>31</v>
      </c>
      <c r="D144" s="33" t="s">
        <v>62</v>
      </c>
      <c r="E144" s="34"/>
      <c r="F144" s="35"/>
      <c r="G144" s="36" t="s">
        <v>65</v>
      </c>
      <c r="H144" s="37"/>
      <c r="I144" s="38"/>
      <c r="J144" s="36"/>
      <c r="K144" s="39">
        <v>18</v>
      </c>
      <c r="L144" s="31">
        <v>8</v>
      </c>
      <c r="M144" s="40">
        <f t="shared" si="5"/>
        <v>1.44</v>
      </c>
      <c r="N144" s="41">
        <v>34.28</v>
      </c>
      <c r="O144" s="40">
        <f t="shared" si="6"/>
        <v>49.363199999999999</v>
      </c>
      <c r="P144" s="42" t="s">
        <v>43</v>
      </c>
      <c r="R144" t="s">
        <v>23</v>
      </c>
    </row>
    <row r="145" spans="1:19" x14ac:dyDescent="0.25">
      <c r="A145" s="30">
        <v>46292</v>
      </c>
      <c r="B145" s="48">
        <v>137</v>
      </c>
      <c r="C145" s="32" t="s">
        <v>31</v>
      </c>
      <c r="D145" s="33" t="s">
        <v>70</v>
      </c>
      <c r="E145" s="34"/>
      <c r="F145" s="35"/>
      <c r="G145" s="36"/>
      <c r="H145" s="37"/>
      <c r="I145" s="38"/>
      <c r="J145" s="36" t="s">
        <v>58</v>
      </c>
      <c r="K145" s="39">
        <v>6</v>
      </c>
      <c r="L145" s="31">
        <v>8</v>
      </c>
      <c r="M145" s="40">
        <f t="shared" si="5"/>
        <v>0.48</v>
      </c>
      <c r="N145" s="41">
        <v>34.28</v>
      </c>
      <c r="O145" s="40">
        <f t="shared" si="6"/>
        <v>16.4544</v>
      </c>
      <c r="P145" s="42" t="s">
        <v>36</v>
      </c>
      <c r="Q145" t="s">
        <v>22</v>
      </c>
      <c r="S145" t="s">
        <v>44</v>
      </c>
    </row>
    <row r="146" spans="1:19" x14ac:dyDescent="0.25">
      <c r="A146" s="30">
        <v>46292</v>
      </c>
      <c r="B146" s="48">
        <v>138</v>
      </c>
      <c r="C146" s="32" t="s">
        <v>31</v>
      </c>
      <c r="D146" s="33" t="s">
        <v>89</v>
      </c>
      <c r="E146" s="34"/>
      <c r="F146" s="35"/>
      <c r="G146" s="36"/>
      <c r="H146" s="37"/>
      <c r="I146" s="38">
        <v>48</v>
      </c>
      <c r="J146" s="36" t="s">
        <v>46</v>
      </c>
      <c r="K146" s="39">
        <v>24</v>
      </c>
      <c r="L146" s="31">
        <v>8</v>
      </c>
      <c r="M146" s="40">
        <f t="shared" si="5"/>
        <v>1.92</v>
      </c>
      <c r="N146" s="41">
        <v>34.28</v>
      </c>
      <c r="O146" s="40">
        <f t="shared" si="6"/>
        <v>65.817599999999999</v>
      </c>
      <c r="P146" s="42" t="s">
        <v>36</v>
      </c>
      <c r="R146" t="s">
        <v>23</v>
      </c>
      <c r="S146" t="s">
        <v>64</v>
      </c>
    </row>
    <row r="147" spans="1:19" x14ac:dyDescent="0.25">
      <c r="A147" s="30">
        <v>46292</v>
      </c>
      <c r="B147" s="48">
        <v>139</v>
      </c>
      <c r="C147" s="32" t="s">
        <v>31</v>
      </c>
      <c r="D147" s="33" t="s">
        <v>61</v>
      </c>
      <c r="E147" s="34" t="s">
        <v>32</v>
      </c>
      <c r="F147" s="35"/>
      <c r="G147" s="36"/>
      <c r="H147" s="43"/>
      <c r="I147" s="38"/>
      <c r="J147" s="44"/>
      <c r="K147" s="39">
        <v>22</v>
      </c>
      <c r="L147" s="31">
        <v>8</v>
      </c>
      <c r="M147" s="40">
        <f t="shared" si="5"/>
        <v>1.76</v>
      </c>
      <c r="N147" s="41">
        <v>34.28</v>
      </c>
      <c r="O147" s="40">
        <f t="shared" si="6"/>
        <v>60.332799999999999</v>
      </c>
      <c r="P147" s="42" t="s">
        <v>36</v>
      </c>
      <c r="R147" t="s">
        <v>23</v>
      </c>
      <c r="S147" t="s">
        <v>52</v>
      </c>
    </row>
    <row r="148" spans="1:19" x14ac:dyDescent="0.25">
      <c r="A148" s="30">
        <v>46293</v>
      </c>
      <c r="B148" s="48">
        <v>140</v>
      </c>
      <c r="C148" s="32" t="s">
        <v>31</v>
      </c>
      <c r="D148" s="33" t="s">
        <v>168</v>
      </c>
      <c r="E148" s="34"/>
      <c r="F148" s="32"/>
      <c r="G148" s="36" t="s">
        <v>60</v>
      </c>
      <c r="H148" s="43"/>
      <c r="I148" s="38"/>
      <c r="J148" s="44"/>
      <c r="K148" s="39">
        <v>6</v>
      </c>
      <c r="L148" s="31">
        <v>8</v>
      </c>
      <c r="M148" s="40">
        <f t="shared" si="5"/>
        <v>0.48</v>
      </c>
      <c r="N148" s="41">
        <v>34.28</v>
      </c>
      <c r="O148" s="40">
        <f>N148*M148</f>
        <v>16.4544</v>
      </c>
      <c r="P148" s="42" t="s">
        <v>33</v>
      </c>
      <c r="Q148" t="s">
        <v>22</v>
      </c>
    </row>
    <row r="149" spans="1:19" x14ac:dyDescent="0.25">
      <c r="A149" s="30">
        <v>46294</v>
      </c>
      <c r="B149" s="48">
        <v>141</v>
      </c>
      <c r="C149" s="32" t="s">
        <v>31</v>
      </c>
      <c r="D149" s="33" t="s">
        <v>71</v>
      </c>
      <c r="E149" s="34"/>
      <c r="F149" s="35"/>
      <c r="G149" s="36" t="s">
        <v>34</v>
      </c>
      <c r="H149" s="37"/>
      <c r="I149" s="38"/>
      <c r="J149" s="36"/>
      <c r="K149" s="39">
        <v>34</v>
      </c>
      <c r="L149" s="31">
        <v>8</v>
      </c>
      <c r="M149" s="40">
        <f t="shared" si="5"/>
        <v>2.72</v>
      </c>
      <c r="N149" s="41">
        <v>34.35</v>
      </c>
      <c r="O149" s="40">
        <f t="shared" ref="O149:O150" si="7">N149*M149</f>
        <v>93.432000000000016</v>
      </c>
      <c r="P149" s="42" t="s">
        <v>33</v>
      </c>
      <c r="R149" t="s">
        <v>23</v>
      </c>
    </row>
    <row r="150" spans="1:19" x14ac:dyDescent="0.25">
      <c r="A150" s="30">
        <v>46294</v>
      </c>
      <c r="B150" s="48">
        <v>142</v>
      </c>
      <c r="C150" s="32" t="s">
        <v>31</v>
      </c>
      <c r="D150" s="33" t="s">
        <v>169</v>
      </c>
      <c r="E150" s="34"/>
      <c r="F150" s="35"/>
      <c r="G150" s="36" t="s">
        <v>170</v>
      </c>
      <c r="H150" s="37"/>
      <c r="I150" s="38"/>
      <c r="J150" s="36"/>
      <c r="K150" s="39">
        <v>4</v>
      </c>
      <c r="L150" s="31">
        <v>8</v>
      </c>
      <c r="M150" s="40">
        <f t="shared" si="5"/>
        <v>0.32</v>
      </c>
      <c r="N150" s="41">
        <v>34.35</v>
      </c>
      <c r="O150" s="40">
        <f t="shared" si="7"/>
        <v>10.992000000000001</v>
      </c>
      <c r="P150" s="42" t="s">
        <v>33</v>
      </c>
      <c r="Q150" t="s">
        <v>22</v>
      </c>
    </row>
    <row r="151" spans="1:19" x14ac:dyDescent="0.25">
      <c r="A151" s="30">
        <v>46295</v>
      </c>
      <c r="B151" s="48">
        <v>143</v>
      </c>
      <c r="C151" s="32" t="s">
        <v>31</v>
      </c>
      <c r="D151" s="33" t="s">
        <v>70</v>
      </c>
      <c r="E151" s="38"/>
      <c r="F151" s="32"/>
      <c r="G151" s="36" t="s">
        <v>60</v>
      </c>
      <c r="H151" s="43"/>
      <c r="I151" s="38"/>
      <c r="J151" s="44"/>
      <c r="K151" s="39">
        <v>8</v>
      </c>
      <c r="L151" s="31">
        <v>8</v>
      </c>
      <c r="M151" s="40">
        <f t="shared" si="5"/>
        <v>0.64</v>
      </c>
      <c r="N151" s="41">
        <v>34.35</v>
      </c>
      <c r="O151" s="40">
        <f t="shared" si="6"/>
        <v>21.984000000000002</v>
      </c>
      <c r="P151" s="42" t="s">
        <v>33</v>
      </c>
      <c r="R151" t="s">
        <v>23</v>
      </c>
    </row>
    <row r="152" spans="1:19" x14ac:dyDescent="0.25">
      <c r="A152" s="30">
        <v>46295</v>
      </c>
      <c r="B152" s="48">
        <v>144</v>
      </c>
      <c r="C152" s="32" t="s">
        <v>31</v>
      </c>
      <c r="D152" s="33" t="s">
        <v>171</v>
      </c>
      <c r="E152" s="34"/>
      <c r="F152" s="32"/>
      <c r="G152" s="36" t="s">
        <v>34</v>
      </c>
      <c r="H152" s="43"/>
      <c r="I152" s="38"/>
      <c r="J152" s="44"/>
      <c r="K152" s="39">
        <v>2</v>
      </c>
      <c r="L152" s="31">
        <v>8</v>
      </c>
      <c r="M152" s="40">
        <f t="shared" si="5"/>
        <v>0.16</v>
      </c>
      <c r="N152" s="41">
        <v>34.35</v>
      </c>
      <c r="O152" s="40">
        <f t="shared" si="6"/>
        <v>5.4960000000000004</v>
      </c>
      <c r="P152" s="42" t="s">
        <v>33</v>
      </c>
      <c r="Q152" t="s">
        <v>22</v>
      </c>
    </row>
    <row r="153" spans="1:19" x14ac:dyDescent="0.25">
      <c r="A153" s="30">
        <v>46295</v>
      </c>
      <c r="B153" s="48">
        <v>145</v>
      </c>
      <c r="C153" s="32" t="s">
        <v>31</v>
      </c>
      <c r="D153" s="33" t="s">
        <v>172</v>
      </c>
      <c r="E153" s="34"/>
      <c r="F153" s="35" t="s">
        <v>32</v>
      </c>
      <c r="G153" s="36"/>
      <c r="H153" s="43"/>
      <c r="I153" s="38"/>
      <c r="J153" s="44"/>
      <c r="K153" s="39">
        <v>12</v>
      </c>
      <c r="L153" s="31">
        <v>8</v>
      </c>
      <c r="M153" s="40">
        <f t="shared" si="5"/>
        <v>0.96</v>
      </c>
      <c r="N153" s="41">
        <v>34.35</v>
      </c>
      <c r="O153" s="40">
        <f t="shared" si="6"/>
        <v>32.975999999999999</v>
      </c>
      <c r="P153" s="42" t="s">
        <v>33</v>
      </c>
      <c r="Q153" t="s">
        <v>22</v>
      </c>
    </row>
    <row r="154" spans="1:19" x14ac:dyDescent="0.25">
      <c r="A154" s="30"/>
      <c r="B154" s="48">
        <v>146</v>
      </c>
      <c r="C154" s="32" t="s">
        <v>31</v>
      </c>
      <c r="D154" s="33"/>
      <c r="E154" s="34"/>
      <c r="F154" s="32"/>
      <c r="G154" s="36"/>
      <c r="H154" s="43"/>
      <c r="I154" s="38"/>
      <c r="J154" s="44"/>
      <c r="K154" s="39"/>
      <c r="L154" s="31"/>
      <c r="M154" s="40">
        <f t="shared" si="5"/>
        <v>0</v>
      </c>
      <c r="N154" s="41"/>
      <c r="O154" s="40">
        <f t="shared" si="6"/>
        <v>0</v>
      </c>
      <c r="P154" s="42"/>
    </row>
    <row r="155" spans="1:19" x14ac:dyDescent="0.25">
      <c r="A155" s="30"/>
      <c r="B155" s="48">
        <v>147</v>
      </c>
      <c r="C155" s="32" t="s">
        <v>31</v>
      </c>
      <c r="D155" s="33"/>
      <c r="E155" s="38"/>
      <c r="F155" s="35"/>
      <c r="G155" s="36"/>
      <c r="H155" s="43"/>
      <c r="I155" s="38"/>
      <c r="J155" s="36"/>
      <c r="K155" s="39"/>
      <c r="L155" s="31"/>
      <c r="M155" s="40">
        <f t="shared" si="5"/>
        <v>0</v>
      </c>
      <c r="N155" s="41"/>
      <c r="O155" s="40">
        <f t="shared" si="6"/>
        <v>0</v>
      </c>
      <c r="P155" s="42"/>
    </row>
    <row r="156" spans="1:19" x14ac:dyDescent="0.25">
      <c r="A156" s="30"/>
      <c r="B156" s="48">
        <v>148</v>
      </c>
      <c r="C156" s="32" t="s">
        <v>31</v>
      </c>
      <c r="D156" s="33"/>
      <c r="E156" s="38"/>
      <c r="F156" s="32"/>
      <c r="G156" s="36"/>
      <c r="H156" s="43"/>
      <c r="I156" s="38"/>
      <c r="J156" s="44"/>
      <c r="K156" s="39"/>
      <c r="L156" s="31"/>
      <c r="M156" s="40">
        <f t="shared" si="5"/>
        <v>0</v>
      </c>
      <c r="N156" s="41"/>
      <c r="O156" s="40">
        <f t="shared" si="6"/>
        <v>0</v>
      </c>
      <c r="P156" s="42"/>
    </row>
    <row r="157" spans="1:19" x14ac:dyDescent="0.25">
      <c r="A157" s="30"/>
      <c r="B157" s="48">
        <v>149</v>
      </c>
      <c r="C157" s="32" t="s">
        <v>31</v>
      </c>
      <c r="D157" s="33"/>
      <c r="E157" s="38"/>
      <c r="F157" s="32"/>
      <c r="G157" s="36"/>
      <c r="H157" s="37"/>
      <c r="I157" s="38"/>
      <c r="J157" s="44"/>
      <c r="K157" s="39"/>
      <c r="L157" s="31"/>
      <c r="M157" s="40">
        <f t="shared" si="5"/>
        <v>0</v>
      </c>
      <c r="N157" s="41"/>
      <c r="O157" s="40">
        <f t="shared" si="6"/>
        <v>0</v>
      </c>
      <c r="P157" s="42"/>
    </row>
    <row r="158" spans="1:19" x14ac:dyDescent="0.25">
      <c r="A158" s="30"/>
      <c r="B158" s="48">
        <v>150</v>
      </c>
      <c r="C158" s="32" t="s">
        <v>31</v>
      </c>
      <c r="D158" s="33"/>
      <c r="E158" s="34"/>
      <c r="F158" s="32"/>
      <c r="G158" s="36"/>
      <c r="H158" s="37"/>
      <c r="I158" s="38"/>
      <c r="J158" s="44"/>
      <c r="K158" s="39"/>
      <c r="L158" s="31"/>
      <c r="M158" s="40">
        <f t="shared" si="5"/>
        <v>0</v>
      </c>
      <c r="N158" s="41"/>
      <c r="O158" s="40">
        <f t="shared" si="6"/>
        <v>0</v>
      </c>
      <c r="P158" s="42"/>
    </row>
    <row r="159" spans="1:19" x14ac:dyDescent="0.25">
      <c r="A159" s="30"/>
      <c r="B159" s="48">
        <v>151</v>
      </c>
      <c r="C159" s="32" t="s">
        <v>31</v>
      </c>
      <c r="D159" s="33"/>
      <c r="E159" s="34"/>
      <c r="F159" s="35"/>
      <c r="G159" s="44"/>
      <c r="H159" s="43"/>
      <c r="I159" s="38"/>
      <c r="J159" s="44"/>
      <c r="K159" s="39"/>
      <c r="L159" s="31"/>
      <c r="M159" s="40">
        <f t="shared" si="5"/>
        <v>0</v>
      </c>
      <c r="N159" s="41"/>
      <c r="O159" s="40">
        <f t="shared" si="6"/>
        <v>0</v>
      </c>
      <c r="P159" s="42"/>
    </row>
    <row r="160" spans="1:19" x14ac:dyDescent="0.25">
      <c r="A160" s="30"/>
      <c r="B160" s="48">
        <v>152</v>
      </c>
      <c r="C160" s="32" t="s">
        <v>31</v>
      </c>
      <c r="D160" s="46"/>
      <c r="E160" s="34"/>
      <c r="F160" s="32"/>
      <c r="G160" s="36"/>
      <c r="H160" s="43"/>
      <c r="I160" s="38"/>
      <c r="J160" s="44"/>
      <c r="K160" s="39"/>
      <c r="L160" s="31"/>
      <c r="M160" s="40">
        <f t="shared" si="5"/>
        <v>0</v>
      </c>
      <c r="N160" s="41"/>
      <c r="O160" s="40">
        <f t="shared" si="6"/>
        <v>0</v>
      </c>
      <c r="P160" s="42"/>
    </row>
    <row r="161" spans="1:16" x14ac:dyDescent="0.25">
      <c r="A161" s="30"/>
      <c r="B161" s="48">
        <v>153</v>
      </c>
      <c r="C161" s="32" t="s">
        <v>31</v>
      </c>
      <c r="D161" s="33"/>
      <c r="E161" s="38"/>
      <c r="F161" s="32"/>
      <c r="G161" s="36"/>
      <c r="H161" s="43"/>
      <c r="I161" s="38"/>
      <c r="J161" s="44"/>
      <c r="K161" s="39"/>
      <c r="L161" s="31"/>
      <c r="M161" s="40">
        <f t="shared" si="5"/>
        <v>0</v>
      </c>
      <c r="N161" s="41"/>
      <c r="O161" s="40">
        <f t="shared" si="6"/>
        <v>0</v>
      </c>
      <c r="P161" s="42"/>
    </row>
    <row r="162" spans="1:16" x14ac:dyDescent="0.25">
      <c r="A162" s="30"/>
      <c r="B162" s="48">
        <v>154</v>
      </c>
      <c r="C162" s="32" t="s">
        <v>31</v>
      </c>
      <c r="D162" s="33"/>
      <c r="E162" s="38"/>
      <c r="F162" s="35"/>
      <c r="G162" s="36"/>
      <c r="H162" s="43"/>
      <c r="I162" s="38"/>
      <c r="J162" s="44"/>
      <c r="K162" s="39"/>
      <c r="L162" s="31"/>
      <c r="M162" s="40">
        <f t="shared" si="5"/>
        <v>0</v>
      </c>
      <c r="N162" s="41"/>
      <c r="O162" s="40">
        <f t="shared" si="6"/>
        <v>0</v>
      </c>
      <c r="P162" s="42"/>
    </row>
    <row r="163" spans="1:16" x14ac:dyDescent="0.25">
      <c r="A163" s="30"/>
      <c r="B163" s="48">
        <v>155</v>
      </c>
      <c r="C163" s="32" t="s">
        <v>31</v>
      </c>
      <c r="D163" s="33"/>
      <c r="E163" s="34"/>
      <c r="F163" s="35"/>
      <c r="G163" s="36"/>
      <c r="H163" s="37"/>
      <c r="I163" s="38"/>
      <c r="J163" s="44"/>
      <c r="K163" s="39"/>
      <c r="L163" s="31"/>
      <c r="M163" s="40">
        <f t="shared" si="5"/>
        <v>0</v>
      </c>
      <c r="N163" s="41"/>
      <c r="O163" s="40">
        <f t="shared" si="6"/>
        <v>0</v>
      </c>
      <c r="P163" s="42"/>
    </row>
    <row r="164" spans="1:16" x14ac:dyDescent="0.25">
      <c r="A164" s="30"/>
      <c r="B164" s="48">
        <v>156</v>
      </c>
      <c r="C164" s="32" t="s">
        <v>31</v>
      </c>
      <c r="D164" s="33"/>
      <c r="E164" s="34"/>
      <c r="F164" s="32"/>
      <c r="G164" s="36"/>
      <c r="H164" s="43"/>
      <c r="I164" s="38"/>
      <c r="J164" s="36"/>
      <c r="K164" s="39"/>
      <c r="L164" s="31"/>
      <c r="M164" s="40">
        <f t="shared" si="5"/>
        <v>0</v>
      </c>
      <c r="N164" s="41"/>
      <c r="O164" s="40">
        <f t="shared" si="6"/>
        <v>0</v>
      </c>
      <c r="P164" s="42"/>
    </row>
    <row r="165" spans="1:16" x14ac:dyDescent="0.25">
      <c r="A165" s="30"/>
      <c r="B165" s="48">
        <v>157</v>
      </c>
      <c r="C165" s="32" t="s">
        <v>31</v>
      </c>
      <c r="D165" s="33"/>
      <c r="E165" s="38"/>
      <c r="F165" s="35"/>
      <c r="G165" s="36"/>
      <c r="H165" s="37"/>
      <c r="I165" s="38"/>
      <c r="J165" s="44"/>
      <c r="K165" s="39"/>
      <c r="L165" s="31"/>
      <c r="M165" s="40">
        <f t="shared" si="5"/>
        <v>0</v>
      </c>
      <c r="N165" s="41"/>
      <c r="O165" s="40">
        <f t="shared" si="6"/>
        <v>0</v>
      </c>
      <c r="P165" s="42"/>
    </row>
    <row r="166" spans="1:16" x14ac:dyDescent="0.25">
      <c r="A166" s="30"/>
      <c r="B166" s="48">
        <v>158</v>
      </c>
      <c r="C166" s="32" t="s">
        <v>31</v>
      </c>
      <c r="D166" s="33"/>
      <c r="E166" s="38"/>
      <c r="F166" s="35"/>
      <c r="G166" s="36"/>
      <c r="H166" s="43"/>
      <c r="I166" s="38"/>
      <c r="J166" s="44"/>
      <c r="K166" s="39"/>
      <c r="L166" s="31"/>
      <c r="M166" s="40">
        <f t="shared" si="5"/>
        <v>0</v>
      </c>
      <c r="N166" s="41"/>
      <c r="O166" s="40">
        <f t="shared" si="6"/>
        <v>0</v>
      </c>
      <c r="P166" s="42"/>
    </row>
    <row r="167" spans="1:16" x14ac:dyDescent="0.25">
      <c r="A167" s="30"/>
      <c r="B167" s="48">
        <v>159</v>
      </c>
      <c r="C167" s="32" t="s">
        <v>31</v>
      </c>
      <c r="D167" s="33"/>
      <c r="E167" s="38"/>
      <c r="F167" s="32"/>
      <c r="G167" s="36"/>
      <c r="H167" s="43"/>
      <c r="I167" s="38"/>
      <c r="J167" s="44"/>
      <c r="K167" s="39"/>
      <c r="L167" s="31"/>
      <c r="M167" s="40">
        <f t="shared" si="5"/>
        <v>0</v>
      </c>
      <c r="N167" s="41"/>
      <c r="O167" s="40">
        <f t="shared" si="6"/>
        <v>0</v>
      </c>
      <c r="P167" s="42"/>
    </row>
    <row r="168" spans="1:16" x14ac:dyDescent="0.25">
      <c r="A168" s="30"/>
      <c r="B168" s="48">
        <v>160</v>
      </c>
      <c r="C168" s="32" t="s">
        <v>31</v>
      </c>
      <c r="D168" s="33"/>
      <c r="E168" s="34"/>
      <c r="F168" s="32"/>
      <c r="G168" s="36"/>
      <c r="H168" s="43"/>
      <c r="I168" s="38"/>
      <c r="J168" s="44"/>
      <c r="K168" s="39"/>
      <c r="L168" s="31"/>
      <c r="M168" s="40">
        <f t="shared" si="5"/>
        <v>0</v>
      </c>
      <c r="N168" s="41"/>
      <c r="O168" s="40">
        <f t="shared" si="6"/>
        <v>0</v>
      </c>
      <c r="P168" s="42"/>
    </row>
    <row r="169" spans="1:16" x14ac:dyDescent="0.25">
      <c r="A169" s="30"/>
      <c r="B169" s="48">
        <v>161</v>
      </c>
      <c r="C169" s="32" t="s">
        <v>31</v>
      </c>
      <c r="D169" s="33"/>
      <c r="E169" s="34"/>
      <c r="F169" s="32"/>
      <c r="G169" s="36"/>
      <c r="H169" s="43"/>
      <c r="I169" s="38"/>
      <c r="J169" s="44"/>
      <c r="K169" s="39"/>
      <c r="L169" s="31"/>
      <c r="M169" s="40">
        <f t="shared" si="5"/>
        <v>0</v>
      </c>
      <c r="N169" s="41"/>
      <c r="O169" s="40">
        <f t="shared" si="6"/>
        <v>0</v>
      </c>
      <c r="P169" s="42"/>
    </row>
    <row r="170" spans="1:16" x14ac:dyDescent="0.25">
      <c r="A170" s="30"/>
      <c r="B170" s="48">
        <v>162</v>
      </c>
      <c r="C170" s="32" t="s">
        <v>31</v>
      </c>
      <c r="D170" s="33"/>
      <c r="E170" s="34"/>
      <c r="F170" s="35"/>
      <c r="G170" s="44"/>
      <c r="H170" s="43"/>
      <c r="I170" s="38"/>
      <c r="J170" s="44"/>
      <c r="K170" s="39"/>
      <c r="L170" s="31"/>
      <c r="M170" s="40">
        <f t="shared" si="5"/>
        <v>0</v>
      </c>
      <c r="N170" s="41"/>
      <c r="O170" s="40">
        <f t="shared" si="6"/>
        <v>0</v>
      </c>
      <c r="P170" s="42"/>
    </row>
    <row r="171" spans="1:16" x14ac:dyDescent="0.25">
      <c r="A171" s="30"/>
      <c r="B171" s="48">
        <v>163</v>
      </c>
      <c r="C171" s="32" t="s">
        <v>31</v>
      </c>
      <c r="D171" s="33"/>
      <c r="E171" s="34"/>
      <c r="F171" s="35"/>
      <c r="G171" s="36"/>
      <c r="H171" s="43"/>
      <c r="I171" s="38"/>
      <c r="J171" s="44"/>
      <c r="K171" s="39"/>
      <c r="L171" s="31"/>
      <c r="M171" s="40">
        <f t="shared" si="5"/>
        <v>0</v>
      </c>
      <c r="N171" s="41"/>
      <c r="O171" s="40">
        <f t="shared" si="6"/>
        <v>0</v>
      </c>
      <c r="P171" s="42"/>
    </row>
    <row r="172" spans="1:16" x14ac:dyDescent="0.25">
      <c r="A172" s="30"/>
      <c r="B172" s="48">
        <v>164</v>
      </c>
      <c r="C172" s="32" t="s">
        <v>31</v>
      </c>
      <c r="D172" s="33"/>
      <c r="E172" s="34"/>
      <c r="F172" s="35"/>
      <c r="G172" s="36"/>
      <c r="H172" s="43"/>
      <c r="I172" s="38"/>
      <c r="J172" s="44"/>
      <c r="K172" s="39"/>
      <c r="L172" s="31"/>
      <c r="M172" s="40">
        <f t="shared" si="5"/>
        <v>0</v>
      </c>
      <c r="N172" s="41"/>
      <c r="O172" s="40">
        <f t="shared" si="6"/>
        <v>0</v>
      </c>
      <c r="P172" s="42"/>
    </row>
    <row r="173" spans="1:16" x14ac:dyDescent="0.25">
      <c r="A173" s="30"/>
      <c r="B173" s="48">
        <v>165</v>
      </c>
      <c r="C173" s="32" t="s">
        <v>31</v>
      </c>
      <c r="D173" s="33"/>
      <c r="E173" s="34"/>
      <c r="F173" s="32"/>
      <c r="G173" s="36"/>
      <c r="H173" s="43"/>
      <c r="I173" s="38"/>
      <c r="J173" s="44"/>
      <c r="K173" s="39"/>
      <c r="L173" s="31"/>
      <c r="M173" s="40">
        <f t="shared" si="5"/>
        <v>0</v>
      </c>
      <c r="N173" s="41"/>
      <c r="O173" s="40">
        <f t="shared" si="6"/>
        <v>0</v>
      </c>
      <c r="P173" s="42"/>
    </row>
    <row r="174" spans="1:16" x14ac:dyDescent="0.25">
      <c r="A174" s="30"/>
      <c r="B174" s="48">
        <v>166</v>
      </c>
      <c r="C174" s="32" t="s">
        <v>31</v>
      </c>
      <c r="D174" s="33"/>
      <c r="E174" s="32"/>
      <c r="F174" s="32"/>
      <c r="G174" s="44"/>
      <c r="H174" s="43"/>
      <c r="I174" s="38"/>
      <c r="J174" s="44"/>
      <c r="K174" s="39"/>
      <c r="L174" s="31"/>
      <c r="M174" s="40">
        <f t="shared" si="5"/>
        <v>0</v>
      </c>
      <c r="N174" s="41"/>
      <c r="O174" s="40">
        <f t="shared" si="6"/>
        <v>0</v>
      </c>
      <c r="P174" s="42"/>
    </row>
    <row r="175" spans="1:16" x14ac:dyDescent="0.25">
      <c r="A175" s="30"/>
      <c r="B175" s="48">
        <v>167</v>
      </c>
      <c r="C175" s="32" t="s">
        <v>31</v>
      </c>
      <c r="D175" s="33"/>
      <c r="E175" s="38"/>
      <c r="F175" s="32"/>
      <c r="G175" s="36"/>
      <c r="H175" s="43"/>
      <c r="I175" s="38"/>
      <c r="J175" s="44"/>
      <c r="K175" s="39"/>
      <c r="L175" s="31"/>
      <c r="M175" s="40">
        <f t="shared" si="5"/>
        <v>0</v>
      </c>
      <c r="N175" s="41"/>
      <c r="O175" s="40">
        <f t="shared" si="6"/>
        <v>0</v>
      </c>
      <c r="P175" s="42"/>
    </row>
    <row r="176" spans="1:16" x14ac:dyDescent="0.25">
      <c r="A176" s="50"/>
      <c r="B176" s="48">
        <v>168</v>
      </c>
      <c r="C176" s="32" t="s">
        <v>31</v>
      </c>
      <c r="D176" s="35"/>
      <c r="E176" s="38"/>
      <c r="F176" s="35"/>
      <c r="G176" s="36"/>
      <c r="H176" s="43"/>
      <c r="I176" s="38"/>
      <c r="J176" s="44"/>
      <c r="K176" s="39"/>
      <c r="L176" s="31"/>
      <c r="M176" s="40">
        <f t="shared" si="5"/>
        <v>0</v>
      </c>
      <c r="N176" s="41"/>
      <c r="O176" s="40">
        <f t="shared" si="6"/>
        <v>0</v>
      </c>
      <c r="P176" s="42"/>
    </row>
    <row r="177" spans="1:16" x14ac:dyDescent="0.25">
      <c r="A177" s="50"/>
      <c r="B177" s="48">
        <v>169</v>
      </c>
      <c r="C177" s="32" t="s">
        <v>31</v>
      </c>
      <c r="D177" s="46"/>
      <c r="E177" s="34"/>
      <c r="F177" s="35"/>
      <c r="G177" s="36"/>
      <c r="H177" s="43"/>
      <c r="I177" s="38"/>
      <c r="J177" s="44"/>
      <c r="K177" s="39"/>
      <c r="L177" s="31"/>
      <c r="M177" s="40">
        <f t="shared" si="5"/>
        <v>0</v>
      </c>
      <c r="N177" s="41"/>
      <c r="O177" s="40">
        <f t="shared" si="6"/>
        <v>0</v>
      </c>
      <c r="P177" s="42"/>
    </row>
    <row r="178" spans="1:16" x14ac:dyDescent="0.25">
      <c r="A178" s="50"/>
      <c r="B178" s="48">
        <v>170</v>
      </c>
      <c r="C178" s="32" t="s">
        <v>31</v>
      </c>
      <c r="D178" s="46"/>
      <c r="E178" s="34"/>
      <c r="F178" s="32"/>
      <c r="G178" s="36"/>
      <c r="H178" s="43"/>
      <c r="I178" s="38"/>
      <c r="J178" s="44"/>
      <c r="K178" s="39"/>
      <c r="L178" s="31"/>
      <c r="M178" s="40">
        <f>K178/100*L178</f>
        <v>0</v>
      </c>
      <c r="N178" s="41"/>
      <c r="O178" s="40">
        <f t="shared" si="6"/>
        <v>0</v>
      </c>
      <c r="P178" s="42"/>
    </row>
    <row r="179" spans="1:16" x14ac:dyDescent="0.25">
      <c r="A179" s="50"/>
      <c r="B179" s="48">
        <v>171</v>
      </c>
      <c r="C179" s="32" t="s">
        <v>31</v>
      </c>
      <c r="D179" s="33"/>
      <c r="E179" s="38"/>
      <c r="F179" s="32"/>
      <c r="G179" s="36"/>
      <c r="H179" s="43"/>
      <c r="I179" s="38"/>
      <c r="J179" s="44"/>
      <c r="K179" s="39"/>
      <c r="L179" s="31"/>
      <c r="M179" s="40">
        <f t="shared" si="5"/>
        <v>0</v>
      </c>
      <c r="N179" s="41"/>
      <c r="O179" s="40">
        <f t="shared" si="6"/>
        <v>0</v>
      </c>
      <c r="P179" s="42"/>
    </row>
    <row r="180" spans="1:16" x14ac:dyDescent="0.25">
      <c r="A180" s="50"/>
      <c r="B180" s="48">
        <v>172</v>
      </c>
      <c r="C180" s="32" t="s">
        <v>31</v>
      </c>
      <c r="D180" s="33"/>
      <c r="E180" s="34"/>
      <c r="F180" s="32"/>
      <c r="G180" s="36"/>
      <c r="H180" s="43"/>
      <c r="I180" s="38"/>
      <c r="J180" s="36"/>
      <c r="K180" s="39"/>
      <c r="L180" s="31"/>
      <c r="M180" s="40">
        <f t="shared" ref="M180:M243" si="8">K180/100*L180</f>
        <v>0</v>
      </c>
      <c r="N180" s="41"/>
      <c r="O180" s="40">
        <f t="shared" si="6"/>
        <v>0</v>
      </c>
      <c r="P180" s="42"/>
    </row>
    <row r="181" spans="1:16" x14ac:dyDescent="0.25">
      <c r="A181" s="50"/>
      <c r="B181" s="48">
        <v>173</v>
      </c>
      <c r="C181" s="32" t="s">
        <v>31</v>
      </c>
      <c r="D181" s="33"/>
      <c r="E181" s="38"/>
      <c r="F181" s="35"/>
      <c r="G181" s="36"/>
      <c r="H181" s="43"/>
      <c r="I181" s="38"/>
      <c r="J181" s="36"/>
      <c r="K181" s="39"/>
      <c r="L181" s="31"/>
      <c r="M181" s="40">
        <f t="shared" si="8"/>
        <v>0</v>
      </c>
      <c r="N181" s="41"/>
      <c r="O181" s="40">
        <f t="shared" si="6"/>
        <v>0</v>
      </c>
      <c r="P181" s="42"/>
    </row>
    <row r="182" spans="1:16" x14ac:dyDescent="0.25">
      <c r="A182" s="50"/>
      <c r="B182" s="48">
        <v>174</v>
      </c>
      <c r="C182" s="32" t="s">
        <v>31</v>
      </c>
      <c r="D182" s="33"/>
      <c r="E182" s="38"/>
      <c r="F182" s="35"/>
      <c r="G182" s="36"/>
      <c r="H182" s="43"/>
      <c r="I182" s="38"/>
      <c r="J182" s="36"/>
      <c r="K182" s="39"/>
      <c r="L182" s="31"/>
      <c r="M182" s="40">
        <f t="shared" si="8"/>
        <v>0</v>
      </c>
      <c r="N182" s="41"/>
      <c r="O182" s="40">
        <f t="shared" si="6"/>
        <v>0</v>
      </c>
      <c r="P182" s="42"/>
    </row>
    <row r="183" spans="1:16" x14ac:dyDescent="0.25">
      <c r="A183" s="50"/>
      <c r="B183" s="48">
        <v>175</v>
      </c>
      <c r="C183" s="32" t="s">
        <v>31</v>
      </c>
      <c r="D183" s="35"/>
      <c r="E183" s="34"/>
      <c r="F183" s="32"/>
      <c r="G183" s="36"/>
      <c r="H183" s="43"/>
      <c r="I183" s="38"/>
      <c r="J183" s="44"/>
      <c r="K183" s="39"/>
      <c r="L183" s="31"/>
      <c r="M183" s="40">
        <f t="shared" si="8"/>
        <v>0</v>
      </c>
      <c r="N183" s="41"/>
      <c r="O183" s="40">
        <f t="shared" si="6"/>
        <v>0</v>
      </c>
      <c r="P183" s="42"/>
    </row>
    <row r="184" spans="1:16" x14ac:dyDescent="0.25">
      <c r="A184" s="50"/>
      <c r="B184" s="48">
        <v>176</v>
      </c>
      <c r="C184" s="32" t="s">
        <v>31</v>
      </c>
      <c r="D184" s="33"/>
      <c r="E184" s="38"/>
      <c r="F184" s="32"/>
      <c r="G184" s="36"/>
      <c r="H184" s="43"/>
      <c r="I184" s="38"/>
      <c r="J184" s="44"/>
      <c r="K184" s="39"/>
      <c r="L184" s="31"/>
      <c r="M184" s="40">
        <f t="shared" si="8"/>
        <v>0</v>
      </c>
      <c r="N184" s="41"/>
      <c r="O184" s="40">
        <f t="shared" si="6"/>
        <v>0</v>
      </c>
      <c r="P184" s="42"/>
    </row>
    <row r="185" spans="1:16" x14ac:dyDescent="0.25">
      <c r="A185" s="50"/>
      <c r="B185" s="48">
        <v>177</v>
      </c>
      <c r="C185" s="32" t="s">
        <v>31</v>
      </c>
      <c r="D185" s="33"/>
      <c r="E185" s="34"/>
      <c r="F185" s="32"/>
      <c r="G185" s="36"/>
      <c r="H185" s="43"/>
      <c r="I185" s="38"/>
      <c r="J185" s="44"/>
      <c r="K185" s="39"/>
      <c r="L185" s="31"/>
      <c r="M185" s="40">
        <f t="shared" si="8"/>
        <v>0</v>
      </c>
      <c r="N185" s="41"/>
      <c r="O185" s="40">
        <f t="shared" si="6"/>
        <v>0</v>
      </c>
      <c r="P185" s="42"/>
    </row>
    <row r="186" spans="1:16" x14ac:dyDescent="0.25">
      <c r="A186" s="50"/>
      <c r="B186" s="48">
        <v>178</v>
      </c>
      <c r="C186" s="32" t="s">
        <v>31</v>
      </c>
      <c r="D186" s="33"/>
      <c r="E186" s="38"/>
      <c r="F186" s="35"/>
      <c r="G186" s="36"/>
      <c r="H186" s="43"/>
      <c r="I186" s="38"/>
      <c r="J186" s="44"/>
      <c r="K186" s="39"/>
      <c r="L186" s="31"/>
      <c r="M186" s="40">
        <f t="shared" si="8"/>
        <v>0</v>
      </c>
      <c r="N186" s="41"/>
      <c r="O186" s="40">
        <f t="shared" si="6"/>
        <v>0</v>
      </c>
      <c r="P186" s="42"/>
    </row>
    <row r="187" spans="1:16" x14ac:dyDescent="0.25">
      <c r="A187" s="50"/>
      <c r="B187" s="48">
        <v>179</v>
      </c>
      <c r="C187" s="32" t="s">
        <v>31</v>
      </c>
      <c r="D187" s="33"/>
      <c r="E187" s="34"/>
      <c r="F187" s="32"/>
      <c r="G187" s="36"/>
      <c r="H187" s="43"/>
      <c r="I187" s="38"/>
      <c r="J187" s="36"/>
      <c r="K187" s="39"/>
      <c r="L187" s="31"/>
      <c r="M187" s="40">
        <f t="shared" si="8"/>
        <v>0</v>
      </c>
      <c r="N187" s="41"/>
      <c r="O187" s="40">
        <f t="shared" si="6"/>
        <v>0</v>
      </c>
      <c r="P187" s="42"/>
    </row>
    <row r="188" spans="1:16" x14ac:dyDescent="0.25">
      <c r="A188" s="50"/>
      <c r="B188" s="48">
        <v>180</v>
      </c>
      <c r="C188" s="32" t="s">
        <v>31</v>
      </c>
      <c r="D188" s="33"/>
      <c r="E188" s="38"/>
      <c r="F188" s="35"/>
      <c r="G188" s="36"/>
      <c r="H188" s="43"/>
      <c r="I188" s="38"/>
      <c r="J188" s="44"/>
      <c r="K188" s="39"/>
      <c r="L188" s="31"/>
      <c r="M188" s="40">
        <f t="shared" si="8"/>
        <v>0</v>
      </c>
      <c r="N188" s="41"/>
      <c r="O188" s="40">
        <f t="shared" si="6"/>
        <v>0</v>
      </c>
      <c r="P188" s="42"/>
    </row>
    <row r="189" spans="1:16" x14ac:dyDescent="0.25">
      <c r="A189" s="50"/>
      <c r="B189" s="48">
        <v>181</v>
      </c>
      <c r="C189" s="32" t="s">
        <v>31</v>
      </c>
      <c r="D189" s="33"/>
      <c r="E189" s="34"/>
      <c r="F189" s="32"/>
      <c r="G189" s="44"/>
      <c r="H189" s="43"/>
      <c r="I189" s="38"/>
      <c r="J189" s="44"/>
      <c r="K189" s="39"/>
      <c r="L189" s="31"/>
      <c r="M189" s="40">
        <f t="shared" si="8"/>
        <v>0</v>
      </c>
      <c r="N189" s="41"/>
      <c r="O189" s="40">
        <f t="shared" si="6"/>
        <v>0</v>
      </c>
      <c r="P189" s="42"/>
    </row>
    <row r="190" spans="1:16" x14ac:dyDescent="0.25">
      <c r="A190" s="50"/>
      <c r="B190" s="48">
        <v>182</v>
      </c>
      <c r="C190" s="32" t="s">
        <v>31</v>
      </c>
      <c r="D190" s="33"/>
      <c r="E190" s="34"/>
      <c r="F190" s="32"/>
      <c r="G190" s="36"/>
      <c r="H190" s="37"/>
      <c r="I190" s="38"/>
      <c r="J190" s="44"/>
      <c r="K190" s="39"/>
      <c r="L190" s="31"/>
      <c r="M190" s="40">
        <f t="shared" si="8"/>
        <v>0</v>
      </c>
      <c r="N190" s="41"/>
      <c r="O190" s="40">
        <f t="shared" si="6"/>
        <v>0</v>
      </c>
      <c r="P190" s="42"/>
    </row>
    <row r="191" spans="1:16" x14ac:dyDescent="0.25">
      <c r="A191" s="30"/>
      <c r="B191" s="48">
        <v>183</v>
      </c>
      <c r="C191" s="32" t="s">
        <v>31</v>
      </c>
      <c r="D191" s="33"/>
      <c r="E191" s="34"/>
      <c r="F191" s="32"/>
      <c r="G191" s="44"/>
      <c r="H191" s="43"/>
      <c r="I191" s="38"/>
      <c r="J191" s="44"/>
      <c r="K191" s="39"/>
      <c r="L191" s="31"/>
      <c r="M191" s="40">
        <f t="shared" si="8"/>
        <v>0</v>
      </c>
      <c r="N191" s="41"/>
      <c r="O191" s="40">
        <f t="shared" si="6"/>
        <v>0</v>
      </c>
      <c r="P191" s="42"/>
    </row>
    <row r="192" spans="1:16" x14ac:dyDescent="0.25">
      <c r="A192" s="30"/>
      <c r="B192" s="48">
        <v>184</v>
      </c>
      <c r="C192" s="32" t="s">
        <v>31</v>
      </c>
      <c r="D192" s="33"/>
      <c r="E192" s="38"/>
      <c r="F192" s="32"/>
      <c r="G192" s="36"/>
      <c r="H192" s="43"/>
      <c r="I192" s="38"/>
      <c r="J192" s="44"/>
      <c r="K192" s="39"/>
      <c r="L192" s="31"/>
      <c r="M192" s="40">
        <f t="shared" si="8"/>
        <v>0</v>
      </c>
      <c r="N192" s="41"/>
      <c r="O192" s="40">
        <f t="shared" si="6"/>
        <v>0</v>
      </c>
      <c r="P192" s="42"/>
    </row>
    <row r="193" spans="1:16" x14ac:dyDescent="0.25">
      <c r="A193" s="30"/>
      <c r="B193" s="48">
        <v>185</v>
      </c>
      <c r="C193" s="32" t="s">
        <v>31</v>
      </c>
      <c r="D193" s="33"/>
      <c r="E193" s="34"/>
      <c r="F193" s="35"/>
      <c r="G193" s="44"/>
      <c r="H193" s="43"/>
      <c r="I193" s="38"/>
      <c r="J193" s="44"/>
      <c r="K193" s="39"/>
      <c r="L193" s="31"/>
      <c r="M193" s="40">
        <f t="shared" si="8"/>
        <v>0</v>
      </c>
      <c r="N193" s="41"/>
      <c r="O193" s="40">
        <f t="shared" si="6"/>
        <v>0</v>
      </c>
      <c r="P193" s="42"/>
    </row>
    <row r="194" spans="1:16" x14ac:dyDescent="0.25">
      <c r="A194" s="30"/>
      <c r="B194" s="48">
        <v>186</v>
      </c>
      <c r="C194" s="32" t="s">
        <v>31</v>
      </c>
      <c r="D194" s="33"/>
      <c r="E194" s="34"/>
      <c r="F194" s="32"/>
      <c r="G194" s="36"/>
      <c r="H194" s="43"/>
      <c r="I194" s="38"/>
      <c r="J194" s="44"/>
      <c r="K194" s="39"/>
      <c r="L194" s="31"/>
      <c r="M194" s="40">
        <f t="shared" si="8"/>
        <v>0</v>
      </c>
      <c r="N194" s="41"/>
      <c r="O194" s="40">
        <f t="shared" si="6"/>
        <v>0</v>
      </c>
      <c r="P194" s="42"/>
    </row>
    <row r="195" spans="1:16" x14ac:dyDescent="0.25">
      <c r="A195" s="30"/>
      <c r="B195" s="48">
        <v>187</v>
      </c>
      <c r="C195" s="32" t="s">
        <v>31</v>
      </c>
      <c r="D195" s="33"/>
      <c r="E195" s="34"/>
      <c r="F195" s="35"/>
      <c r="G195" s="36"/>
      <c r="H195" s="43"/>
      <c r="I195" s="38"/>
      <c r="J195" s="44"/>
      <c r="K195" s="39"/>
      <c r="L195" s="31"/>
      <c r="M195" s="40">
        <f t="shared" si="8"/>
        <v>0</v>
      </c>
      <c r="N195" s="41"/>
      <c r="O195" s="40">
        <f t="shared" si="6"/>
        <v>0</v>
      </c>
      <c r="P195" s="42"/>
    </row>
    <row r="196" spans="1:16" x14ac:dyDescent="0.25">
      <c r="A196" s="30"/>
      <c r="B196" s="48">
        <v>188</v>
      </c>
      <c r="C196" s="32" t="s">
        <v>31</v>
      </c>
      <c r="D196" s="33"/>
      <c r="E196" s="34"/>
      <c r="F196" s="35"/>
      <c r="G196" s="44"/>
      <c r="H196" s="43"/>
      <c r="I196" s="38"/>
      <c r="J196" s="44"/>
      <c r="K196" s="39"/>
      <c r="L196" s="31"/>
      <c r="M196" s="40">
        <f t="shared" si="8"/>
        <v>0</v>
      </c>
      <c r="N196" s="41"/>
      <c r="O196" s="40">
        <f t="shared" si="6"/>
        <v>0</v>
      </c>
      <c r="P196" s="42"/>
    </row>
    <row r="197" spans="1:16" x14ac:dyDescent="0.25">
      <c r="A197" s="30"/>
      <c r="B197" s="48">
        <v>189</v>
      </c>
      <c r="C197" s="32" t="s">
        <v>31</v>
      </c>
      <c r="D197" s="33"/>
      <c r="E197" s="34"/>
      <c r="F197" s="32"/>
      <c r="G197" s="36"/>
      <c r="H197" s="43"/>
      <c r="I197" s="38"/>
      <c r="J197" s="44"/>
      <c r="K197" s="39"/>
      <c r="L197" s="31"/>
      <c r="M197" s="40">
        <f t="shared" si="8"/>
        <v>0</v>
      </c>
      <c r="N197" s="41"/>
      <c r="O197" s="40">
        <f t="shared" si="6"/>
        <v>0</v>
      </c>
      <c r="P197" s="42"/>
    </row>
    <row r="198" spans="1:16" x14ac:dyDescent="0.25">
      <c r="A198" s="30"/>
      <c r="B198" s="48">
        <v>190</v>
      </c>
      <c r="C198" s="32" t="s">
        <v>31</v>
      </c>
      <c r="D198" s="33"/>
      <c r="E198" s="34"/>
      <c r="F198" s="32"/>
      <c r="G198" s="36"/>
      <c r="H198" s="43"/>
      <c r="I198" s="38"/>
      <c r="J198" s="44"/>
      <c r="K198" s="39"/>
      <c r="L198" s="31"/>
      <c r="M198" s="40">
        <f t="shared" si="8"/>
        <v>0</v>
      </c>
      <c r="N198" s="41"/>
      <c r="O198" s="40">
        <f t="shared" si="6"/>
        <v>0</v>
      </c>
      <c r="P198" s="42"/>
    </row>
    <row r="199" spans="1:16" x14ac:dyDescent="0.25">
      <c r="A199" s="30"/>
      <c r="B199" s="48">
        <v>191</v>
      </c>
      <c r="C199" s="32" t="s">
        <v>31</v>
      </c>
      <c r="D199" s="33"/>
      <c r="E199" s="34"/>
      <c r="F199" s="32"/>
      <c r="G199" s="36"/>
      <c r="H199" s="43"/>
      <c r="I199" s="38"/>
      <c r="J199" s="44"/>
      <c r="K199" s="39"/>
      <c r="L199" s="31"/>
      <c r="M199" s="40">
        <f t="shared" si="8"/>
        <v>0</v>
      </c>
      <c r="N199" s="41"/>
      <c r="O199" s="40">
        <f t="shared" si="6"/>
        <v>0</v>
      </c>
      <c r="P199" s="42"/>
    </row>
    <row r="200" spans="1:16" x14ac:dyDescent="0.25">
      <c r="A200" s="30"/>
      <c r="B200" s="48">
        <v>192</v>
      </c>
      <c r="C200" s="32" t="s">
        <v>31</v>
      </c>
      <c r="D200" s="33"/>
      <c r="E200" s="38"/>
      <c r="F200" s="35"/>
      <c r="G200" s="36"/>
      <c r="H200" s="43"/>
      <c r="I200" s="38"/>
      <c r="J200" s="44"/>
      <c r="K200" s="39"/>
      <c r="L200" s="31"/>
      <c r="M200" s="40">
        <f t="shared" si="8"/>
        <v>0</v>
      </c>
      <c r="N200" s="41"/>
      <c r="O200" s="40">
        <f t="shared" si="6"/>
        <v>0</v>
      </c>
      <c r="P200" s="42"/>
    </row>
    <row r="201" spans="1:16" x14ac:dyDescent="0.25">
      <c r="A201" s="30"/>
      <c r="B201" s="48">
        <v>193</v>
      </c>
      <c r="C201" s="32" t="s">
        <v>31</v>
      </c>
      <c r="D201" s="33"/>
      <c r="E201" s="38"/>
      <c r="F201" s="35"/>
      <c r="G201" s="36"/>
      <c r="H201" s="43"/>
      <c r="I201" s="38"/>
      <c r="J201" s="44"/>
      <c r="K201" s="39"/>
      <c r="L201" s="31"/>
      <c r="M201" s="40">
        <f t="shared" si="8"/>
        <v>0</v>
      </c>
      <c r="N201" s="41"/>
      <c r="O201" s="40">
        <f t="shared" ref="O201:O264" si="9">N201*M201</f>
        <v>0</v>
      </c>
      <c r="P201" s="42"/>
    </row>
    <row r="202" spans="1:16" x14ac:dyDescent="0.25">
      <c r="A202" s="30"/>
      <c r="B202" s="48">
        <v>194</v>
      </c>
      <c r="C202" s="32" t="s">
        <v>31</v>
      </c>
      <c r="D202" s="33"/>
      <c r="E202" s="38"/>
      <c r="F202" s="32"/>
      <c r="G202" s="36"/>
      <c r="H202" s="43"/>
      <c r="I202" s="38"/>
      <c r="J202" s="44"/>
      <c r="K202" s="39"/>
      <c r="L202" s="31"/>
      <c r="M202" s="40">
        <f t="shared" si="8"/>
        <v>0</v>
      </c>
      <c r="N202" s="41"/>
      <c r="O202" s="40">
        <f t="shared" si="9"/>
        <v>0</v>
      </c>
      <c r="P202" s="42"/>
    </row>
    <row r="203" spans="1:16" x14ac:dyDescent="0.25">
      <c r="A203" s="30"/>
      <c r="B203" s="48">
        <v>195</v>
      </c>
      <c r="C203" s="32" t="s">
        <v>31</v>
      </c>
      <c r="D203" s="33"/>
      <c r="E203" s="34"/>
      <c r="F203" s="32"/>
      <c r="G203" s="36"/>
      <c r="H203" s="43"/>
      <c r="I203" s="38"/>
      <c r="J203" s="44"/>
      <c r="K203" s="39"/>
      <c r="L203" s="31"/>
      <c r="M203" s="40">
        <f t="shared" si="8"/>
        <v>0</v>
      </c>
      <c r="N203" s="41"/>
      <c r="O203" s="40">
        <f t="shared" si="9"/>
        <v>0</v>
      </c>
      <c r="P203" s="42"/>
    </row>
    <row r="204" spans="1:16" x14ac:dyDescent="0.25">
      <c r="A204" s="30"/>
      <c r="B204" s="48">
        <v>196</v>
      </c>
      <c r="C204" s="32" t="s">
        <v>31</v>
      </c>
      <c r="D204" s="33"/>
      <c r="E204" s="38"/>
      <c r="F204" s="32"/>
      <c r="G204" s="36"/>
      <c r="H204" s="43"/>
      <c r="I204" s="38"/>
      <c r="J204" s="44"/>
      <c r="K204" s="39"/>
      <c r="L204" s="31"/>
      <c r="M204" s="40">
        <f t="shared" si="8"/>
        <v>0</v>
      </c>
      <c r="N204" s="41"/>
      <c r="O204" s="40">
        <f t="shared" si="9"/>
        <v>0</v>
      </c>
      <c r="P204" s="42"/>
    </row>
    <row r="205" spans="1:16" x14ac:dyDescent="0.25">
      <c r="A205" s="30"/>
      <c r="B205" s="48">
        <v>197</v>
      </c>
      <c r="C205" s="32" t="s">
        <v>31</v>
      </c>
      <c r="D205" s="33"/>
      <c r="E205" s="38"/>
      <c r="F205" s="32"/>
      <c r="G205" s="36"/>
      <c r="H205" s="43"/>
      <c r="I205" s="38"/>
      <c r="J205" s="44"/>
      <c r="K205" s="39"/>
      <c r="L205" s="31"/>
      <c r="M205" s="40">
        <f t="shared" si="8"/>
        <v>0</v>
      </c>
      <c r="N205" s="41"/>
      <c r="O205" s="40">
        <f t="shared" si="9"/>
        <v>0</v>
      </c>
      <c r="P205" s="42"/>
    </row>
    <row r="206" spans="1:16" x14ac:dyDescent="0.25">
      <c r="A206" s="30"/>
      <c r="B206" s="48">
        <v>198</v>
      </c>
      <c r="C206" s="32" t="s">
        <v>31</v>
      </c>
      <c r="D206" s="33"/>
      <c r="E206" s="34"/>
      <c r="F206" s="32"/>
      <c r="G206" s="36"/>
      <c r="H206" s="43"/>
      <c r="I206" s="38"/>
      <c r="J206" s="44"/>
      <c r="K206" s="39"/>
      <c r="L206" s="31"/>
      <c r="M206" s="40">
        <f t="shared" si="8"/>
        <v>0</v>
      </c>
      <c r="N206" s="41"/>
      <c r="O206" s="40">
        <f t="shared" si="9"/>
        <v>0</v>
      </c>
      <c r="P206" s="42"/>
    </row>
    <row r="207" spans="1:16" x14ac:dyDescent="0.25">
      <c r="A207" s="30"/>
      <c r="B207" s="48">
        <v>199</v>
      </c>
      <c r="C207" s="32" t="s">
        <v>31</v>
      </c>
      <c r="D207" s="33"/>
      <c r="E207" s="38"/>
      <c r="F207" s="35"/>
      <c r="G207" s="36"/>
      <c r="H207" s="43"/>
      <c r="I207" s="38"/>
      <c r="J207" s="44"/>
      <c r="K207" s="39"/>
      <c r="L207" s="31"/>
      <c r="M207" s="40">
        <f t="shared" si="8"/>
        <v>0</v>
      </c>
      <c r="N207" s="41"/>
      <c r="O207" s="40">
        <f t="shared" si="9"/>
        <v>0</v>
      </c>
      <c r="P207" s="42"/>
    </row>
    <row r="208" spans="1:16" x14ac:dyDescent="0.25">
      <c r="A208" s="30"/>
      <c r="B208" s="48">
        <v>200</v>
      </c>
      <c r="C208" s="32" t="s">
        <v>31</v>
      </c>
      <c r="D208" s="33"/>
      <c r="E208" s="38"/>
      <c r="F208" s="32"/>
      <c r="G208" s="36"/>
      <c r="H208" s="43"/>
      <c r="I208" s="38"/>
      <c r="J208" s="44"/>
      <c r="K208" s="39"/>
      <c r="L208" s="31"/>
      <c r="M208" s="40">
        <f t="shared" si="8"/>
        <v>0</v>
      </c>
      <c r="N208" s="41"/>
      <c r="O208" s="40">
        <f t="shared" si="9"/>
        <v>0</v>
      </c>
      <c r="P208" s="42"/>
    </row>
    <row r="209" spans="1:16" x14ac:dyDescent="0.25">
      <c r="A209" s="30"/>
      <c r="B209" s="48">
        <v>201</v>
      </c>
      <c r="C209" s="32" t="s">
        <v>31</v>
      </c>
      <c r="D209" s="33"/>
      <c r="E209" s="38"/>
      <c r="F209" s="32"/>
      <c r="G209" s="36"/>
      <c r="H209" s="43"/>
      <c r="I209" s="38"/>
      <c r="J209" s="44"/>
      <c r="K209" s="39"/>
      <c r="L209" s="31"/>
      <c r="M209" s="40">
        <f t="shared" si="8"/>
        <v>0</v>
      </c>
      <c r="N209" s="41"/>
      <c r="O209" s="40">
        <f t="shared" si="9"/>
        <v>0</v>
      </c>
      <c r="P209" s="42"/>
    </row>
    <row r="210" spans="1:16" x14ac:dyDescent="0.25">
      <c r="A210" s="30"/>
      <c r="B210" s="48">
        <v>202</v>
      </c>
      <c r="C210" s="32" t="s">
        <v>31</v>
      </c>
      <c r="D210" s="33"/>
      <c r="E210" s="34"/>
      <c r="F210" s="32"/>
      <c r="G210" s="44"/>
      <c r="H210" s="43"/>
      <c r="I210" s="38"/>
      <c r="J210" s="44"/>
      <c r="K210" s="39"/>
      <c r="L210" s="31"/>
      <c r="M210" s="40">
        <f t="shared" si="8"/>
        <v>0</v>
      </c>
      <c r="N210" s="41"/>
      <c r="O210" s="40">
        <f t="shared" si="9"/>
        <v>0</v>
      </c>
      <c r="P210" s="42"/>
    </row>
    <row r="211" spans="1:16" x14ac:dyDescent="0.25">
      <c r="A211" s="30"/>
      <c r="B211" s="48">
        <v>203</v>
      </c>
      <c r="C211" s="32" t="s">
        <v>31</v>
      </c>
      <c r="D211" s="33"/>
      <c r="E211" s="34"/>
      <c r="F211" s="32"/>
      <c r="G211" s="36"/>
      <c r="H211" s="43"/>
      <c r="I211" s="38"/>
      <c r="J211" s="44"/>
      <c r="K211" s="39"/>
      <c r="L211" s="31"/>
      <c r="M211" s="40">
        <f t="shared" si="8"/>
        <v>0</v>
      </c>
      <c r="N211" s="41"/>
      <c r="O211" s="40">
        <f t="shared" si="9"/>
        <v>0</v>
      </c>
      <c r="P211" s="42"/>
    </row>
    <row r="212" spans="1:16" x14ac:dyDescent="0.25">
      <c r="A212" s="30"/>
      <c r="B212" s="48">
        <v>204</v>
      </c>
      <c r="C212" s="32" t="s">
        <v>31</v>
      </c>
      <c r="D212" s="33"/>
      <c r="E212" s="38"/>
      <c r="F212" s="32"/>
      <c r="G212" s="36"/>
      <c r="H212" s="43"/>
      <c r="I212" s="38"/>
      <c r="J212" s="44"/>
      <c r="K212" s="39"/>
      <c r="L212" s="31"/>
      <c r="M212" s="40">
        <f t="shared" si="8"/>
        <v>0</v>
      </c>
      <c r="N212" s="41"/>
      <c r="O212" s="40">
        <f t="shared" si="9"/>
        <v>0</v>
      </c>
      <c r="P212" s="42"/>
    </row>
    <row r="213" spans="1:16" x14ac:dyDescent="0.25">
      <c r="A213" s="30"/>
      <c r="B213" s="48">
        <v>205</v>
      </c>
      <c r="C213" s="32" t="s">
        <v>31</v>
      </c>
      <c r="D213" s="33"/>
      <c r="E213" s="38"/>
      <c r="F213" s="32"/>
      <c r="G213" s="36"/>
      <c r="H213" s="43"/>
      <c r="I213" s="38"/>
      <c r="J213" s="44"/>
      <c r="K213" s="39"/>
      <c r="L213" s="31"/>
      <c r="M213" s="40">
        <f t="shared" si="8"/>
        <v>0</v>
      </c>
      <c r="N213" s="41"/>
      <c r="O213" s="40">
        <f t="shared" si="9"/>
        <v>0</v>
      </c>
      <c r="P213" s="42"/>
    </row>
    <row r="214" spans="1:16" x14ac:dyDescent="0.25">
      <c r="A214" s="30"/>
      <c r="B214" s="48">
        <v>206</v>
      </c>
      <c r="C214" s="32" t="s">
        <v>31</v>
      </c>
      <c r="D214" s="33"/>
      <c r="E214" s="38"/>
      <c r="F214" s="32"/>
      <c r="G214" s="36"/>
      <c r="H214" s="43"/>
      <c r="I214" s="38"/>
      <c r="J214" s="44"/>
      <c r="K214" s="39"/>
      <c r="L214" s="31"/>
      <c r="M214" s="40">
        <f t="shared" si="8"/>
        <v>0</v>
      </c>
      <c r="N214" s="41"/>
      <c r="O214" s="40">
        <f t="shared" si="9"/>
        <v>0</v>
      </c>
      <c r="P214" s="42"/>
    </row>
    <row r="215" spans="1:16" x14ac:dyDescent="0.25">
      <c r="A215" s="30"/>
      <c r="B215" s="48">
        <v>207</v>
      </c>
      <c r="C215" s="32" t="s">
        <v>31</v>
      </c>
      <c r="D215" s="33"/>
      <c r="E215" s="38"/>
      <c r="F215" s="32"/>
      <c r="G215" s="36"/>
      <c r="H215" s="43"/>
      <c r="I215" s="38"/>
      <c r="J215" s="44"/>
      <c r="K215" s="39"/>
      <c r="L215" s="31"/>
      <c r="M215" s="40">
        <f t="shared" si="8"/>
        <v>0</v>
      </c>
      <c r="N215" s="41"/>
      <c r="O215" s="40">
        <f t="shared" si="9"/>
        <v>0</v>
      </c>
      <c r="P215" s="42"/>
    </row>
    <row r="216" spans="1:16" x14ac:dyDescent="0.25">
      <c r="A216" s="30"/>
      <c r="B216" s="48">
        <v>208</v>
      </c>
      <c r="C216" s="32" t="s">
        <v>31</v>
      </c>
      <c r="D216" s="33"/>
      <c r="E216" s="38"/>
      <c r="F216" s="35"/>
      <c r="G216" s="44"/>
      <c r="H216" s="43"/>
      <c r="I216" s="38"/>
      <c r="J216" s="44"/>
      <c r="K216" s="39"/>
      <c r="L216" s="31"/>
      <c r="M216" s="40">
        <f t="shared" si="8"/>
        <v>0</v>
      </c>
      <c r="N216" s="41"/>
      <c r="O216" s="40">
        <f t="shared" si="9"/>
        <v>0</v>
      </c>
      <c r="P216" s="42"/>
    </row>
    <row r="217" spans="1:16" x14ac:dyDescent="0.25">
      <c r="A217" s="30"/>
      <c r="B217" s="48">
        <v>209</v>
      </c>
      <c r="C217" s="32" t="s">
        <v>31</v>
      </c>
      <c r="D217" s="33"/>
      <c r="E217" s="38"/>
      <c r="F217" s="35"/>
      <c r="G217" s="36"/>
      <c r="H217" s="43"/>
      <c r="I217" s="38"/>
      <c r="J217" s="44"/>
      <c r="K217" s="39"/>
      <c r="L217" s="31"/>
      <c r="M217" s="40">
        <f t="shared" si="8"/>
        <v>0</v>
      </c>
      <c r="N217" s="41"/>
      <c r="O217" s="40">
        <f t="shared" si="9"/>
        <v>0</v>
      </c>
      <c r="P217" s="42"/>
    </row>
    <row r="218" spans="1:16" x14ac:dyDescent="0.25">
      <c r="A218" s="30"/>
      <c r="B218" s="48">
        <v>210</v>
      </c>
      <c r="C218" s="32" t="s">
        <v>31</v>
      </c>
      <c r="D218" s="33"/>
      <c r="E218" s="38"/>
      <c r="F218" s="32"/>
      <c r="G218" s="36"/>
      <c r="H218" s="43"/>
      <c r="I218" s="38"/>
      <c r="J218" s="44"/>
      <c r="K218" s="39"/>
      <c r="L218" s="31"/>
      <c r="M218" s="40">
        <f t="shared" si="8"/>
        <v>0</v>
      </c>
      <c r="N218" s="41"/>
      <c r="O218" s="40">
        <f t="shared" si="9"/>
        <v>0</v>
      </c>
      <c r="P218" s="42"/>
    </row>
    <row r="219" spans="1:16" x14ac:dyDescent="0.25">
      <c r="A219" s="30"/>
      <c r="B219" s="48">
        <v>211</v>
      </c>
      <c r="C219" s="32" t="s">
        <v>31</v>
      </c>
      <c r="D219" s="33"/>
      <c r="E219" s="38"/>
      <c r="F219" s="32"/>
      <c r="G219" s="36"/>
      <c r="H219" s="43"/>
      <c r="I219" s="38"/>
      <c r="J219" s="44"/>
      <c r="K219" s="39"/>
      <c r="L219" s="31"/>
      <c r="M219" s="40">
        <f t="shared" si="8"/>
        <v>0</v>
      </c>
      <c r="N219" s="41"/>
      <c r="O219" s="40">
        <f t="shared" si="9"/>
        <v>0</v>
      </c>
      <c r="P219" s="42"/>
    </row>
    <row r="220" spans="1:16" x14ac:dyDescent="0.25">
      <c r="A220" s="30"/>
      <c r="B220" s="48">
        <v>212</v>
      </c>
      <c r="C220" s="32" t="s">
        <v>31</v>
      </c>
      <c r="D220" s="33"/>
      <c r="E220" s="38"/>
      <c r="F220" s="32"/>
      <c r="G220" s="36"/>
      <c r="H220" s="43"/>
      <c r="I220" s="38"/>
      <c r="J220" s="44"/>
      <c r="K220" s="39"/>
      <c r="L220" s="31"/>
      <c r="M220" s="40">
        <f t="shared" si="8"/>
        <v>0</v>
      </c>
      <c r="N220" s="41"/>
      <c r="O220" s="40">
        <f t="shared" si="9"/>
        <v>0</v>
      </c>
      <c r="P220" s="42"/>
    </row>
    <row r="221" spans="1:16" x14ac:dyDescent="0.25">
      <c r="A221" s="30"/>
      <c r="B221" s="48">
        <v>213</v>
      </c>
      <c r="C221" s="32" t="s">
        <v>31</v>
      </c>
      <c r="D221" s="33"/>
      <c r="E221" s="34"/>
      <c r="F221" s="32"/>
      <c r="G221" s="44"/>
      <c r="H221" s="43"/>
      <c r="I221" s="38"/>
      <c r="J221" s="44"/>
      <c r="K221" s="39"/>
      <c r="L221" s="31"/>
      <c r="M221" s="40">
        <f t="shared" si="8"/>
        <v>0</v>
      </c>
      <c r="N221" s="41"/>
      <c r="O221" s="40">
        <f t="shared" si="9"/>
        <v>0</v>
      </c>
      <c r="P221" s="42"/>
    </row>
    <row r="222" spans="1:16" x14ac:dyDescent="0.25">
      <c r="A222" s="30"/>
      <c r="B222" s="48">
        <v>214</v>
      </c>
      <c r="C222" s="32" t="s">
        <v>31</v>
      </c>
      <c r="D222" s="33"/>
      <c r="E222" s="38"/>
      <c r="F222" s="35"/>
      <c r="G222" s="36"/>
      <c r="H222" s="43"/>
      <c r="I222" s="38"/>
      <c r="J222" s="44"/>
      <c r="K222" s="39"/>
      <c r="L222" s="31"/>
      <c r="M222" s="40">
        <f t="shared" si="8"/>
        <v>0</v>
      </c>
      <c r="N222" s="41"/>
      <c r="O222" s="40">
        <f t="shared" si="9"/>
        <v>0</v>
      </c>
      <c r="P222" s="42"/>
    </row>
    <row r="223" spans="1:16" x14ac:dyDescent="0.25">
      <c r="A223" s="30"/>
      <c r="B223" s="48">
        <v>215</v>
      </c>
      <c r="C223" s="32" t="s">
        <v>31</v>
      </c>
      <c r="D223" s="33"/>
      <c r="E223" s="34"/>
      <c r="F223" s="32"/>
      <c r="G223" s="44"/>
      <c r="H223" s="43"/>
      <c r="I223" s="38"/>
      <c r="J223" s="44"/>
      <c r="K223" s="39"/>
      <c r="L223" s="31"/>
      <c r="M223" s="40">
        <f t="shared" si="8"/>
        <v>0</v>
      </c>
      <c r="N223" s="41"/>
      <c r="O223" s="40">
        <f t="shared" si="9"/>
        <v>0</v>
      </c>
      <c r="P223" s="42"/>
    </row>
    <row r="224" spans="1:16" x14ac:dyDescent="0.25">
      <c r="A224" s="30"/>
      <c r="B224" s="48">
        <v>216</v>
      </c>
      <c r="C224" s="32" t="s">
        <v>31</v>
      </c>
      <c r="D224" s="33"/>
      <c r="E224" s="38"/>
      <c r="F224" s="32"/>
      <c r="G224" s="44"/>
      <c r="H224" s="43"/>
      <c r="I224" s="38"/>
      <c r="J224" s="44"/>
      <c r="K224" s="39"/>
      <c r="L224" s="31"/>
      <c r="M224" s="40">
        <f t="shared" si="8"/>
        <v>0</v>
      </c>
      <c r="N224" s="41"/>
      <c r="O224" s="40">
        <f t="shared" si="9"/>
        <v>0</v>
      </c>
      <c r="P224" s="42"/>
    </row>
    <row r="225" spans="1:16" x14ac:dyDescent="0.25">
      <c r="A225" s="30"/>
      <c r="B225" s="48">
        <v>217</v>
      </c>
      <c r="C225" s="32" t="s">
        <v>31</v>
      </c>
      <c r="D225" s="33"/>
      <c r="E225" s="34"/>
      <c r="F225" s="32"/>
      <c r="G225" s="44"/>
      <c r="H225" s="43"/>
      <c r="I225" s="38"/>
      <c r="J225" s="44"/>
      <c r="K225" s="39"/>
      <c r="L225" s="31"/>
      <c r="M225" s="40">
        <f t="shared" si="8"/>
        <v>0</v>
      </c>
      <c r="N225" s="41"/>
      <c r="O225" s="40">
        <f t="shared" si="9"/>
        <v>0</v>
      </c>
      <c r="P225" s="42"/>
    </row>
    <row r="226" spans="1:16" x14ac:dyDescent="0.25">
      <c r="A226" s="30"/>
      <c r="B226" s="48">
        <v>218</v>
      </c>
      <c r="C226" s="32" t="s">
        <v>31</v>
      </c>
      <c r="D226" s="33"/>
      <c r="E226" s="34"/>
      <c r="F226" s="32"/>
      <c r="G226" s="44"/>
      <c r="H226" s="43"/>
      <c r="I226" s="38"/>
      <c r="J226" s="44"/>
      <c r="K226" s="39"/>
      <c r="L226" s="31"/>
      <c r="M226" s="40">
        <f t="shared" si="8"/>
        <v>0</v>
      </c>
      <c r="N226" s="41"/>
      <c r="O226" s="40">
        <f t="shared" si="9"/>
        <v>0</v>
      </c>
      <c r="P226" s="42"/>
    </row>
    <row r="227" spans="1:16" x14ac:dyDescent="0.25">
      <c r="A227" s="51"/>
      <c r="B227" s="48">
        <v>219</v>
      </c>
      <c r="C227" s="32" t="s">
        <v>31</v>
      </c>
      <c r="D227" s="33"/>
      <c r="E227" s="34"/>
      <c r="F227" s="32"/>
      <c r="G227" s="36"/>
      <c r="H227" s="43"/>
      <c r="I227" s="38"/>
      <c r="J227" s="44"/>
      <c r="K227" s="39"/>
      <c r="L227" s="31"/>
      <c r="M227" s="40">
        <f t="shared" si="8"/>
        <v>0</v>
      </c>
      <c r="N227" s="41"/>
      <c r="O227" s="40">
        <f t="shared" si="9"/>
        <v>0</v>
      </c>
      <c r="P227" s="42"/>
    </row>
    <row r="228" spans="1:16" x14ac:dyDescent="0.25">
      <c r="A228" s="51"/>
      <c r="B228" s="48">
        <v>220</v>
      </c>
      <c r="C228" s="32" t="s">
        <v>31</v>
      </c>
      <c r="D228" s="33"/>
      <c r="E228" s="38"/>
      <c r="F228" s="32"/>
      <c r="G228" s="36"/>
      <c r="H228" s="43"/>
      <c r="I228" s="38"/>
      <c r="J228" s="44"/>
      <c r="K228" s="39"/>
      <c r="L228" s="31"/>
      <c r="M228" s="40">
        <f t="shared" si="8"/>
        <v>0</v>
      </c>
      <c r="N228" s="41"/>
      <c r="O228" s="40">
        <f t="shared" si="9"/>
        <v>0</v>
      </c>
      <c r="P228" s="42"/>
    </row>
    <row r="229" spans="1:16" x14ac:dyDescent="0.25">
      <c r="A229" s="51"/>
      <c r="B229" s="48">
        <v>221</v>
      </c>
      <c r="C229" s="32" t="s">
        <v>31</v>
      </c>
      <c r="D229" s="33"/>
      <c r="E229" s="38"/>
      <c r="F229" s="32"/>
      <c r="G229" s="36"/>
      <c r="H229" s="43"/>
      <c r="I229" s="38"/>
      <c r="J229" s="44"/>
      <c r="K229" s="39"/>
      <c r="L229" s="31"/>
      <c r="M229" s="40">
        <f t="shared" si="8"/>
        <v>0</v>
      </c>
      <c r="N229" s="41"/>
      <c r="O229" s="40">
        <f t="shared" si="9"/>
        <v>0</v>
      </c>
      <c r="P229" s="42"/>
    </row>
    <row r="230" spans="1:16" x14ac:dyDescent="0.25">
      <c r="A230" s="51"/>
      <c r="B230" s="48">
        <v>222</v>
      </c>
      <c r="C230" s="32" t="s">
        <v>31</v>
      </c>
      <c r="D230" s="33"/>
      <c r="E230" s="38"/>
      <c r="F230" s="32"/>
      <c r="G230" s="36"/>
      <c r="H230" s="43"/>
      <c r="I230" s="38"/>
      <c r="J230" s="44"/>
      <c r="K230" s="39"/>
      <c r="L230" s="31"/>
      <c r="M230" s="40">
        <f t="shared" si="8"/>
        <v>0</v>
      </c>
      <c r="N230" s="41"/>
      <c r="O230" s="40">
        <f t="shared" si="9"/>
        <v>0</v>
      </c>
      <c r="P230" s="42"/>
    </row>
    <row r="231" spans="1:16" x14ac:dyDescent="0.25">
      <c r="A231" s="51"/>
      <c r="B231" s="48">
        <v>223</v>
      </c>
      <c r="C231" s="32" t="s">
        <v>31</v>
      </c>
      <c r="D231" s="33"/>
      <c r="E231" s="34"/>
      <c r="F231" s="32"/>
      <c r="G231" s="44"/>
      <c r="H231" s="43"/>
      <c r="I231" s="38"/>
      <c r="J231" s="44"/>
      <c r="K231" s="39"/>
      <c r="L231" s="31"/>
      <c r="M231" s="40">
        <f t="shared" si="8"/>
        <v>0</v>
      </c>
      <c r="N231" s="41"/>
      <c r="O231" s="40">
        <f t="shared" si="9"/>
        <v>0</v>
      </c>
      <c r="P231" s="42"/>
    </row>
    <row r="232" spans="1:16" x14ac:dyDescent="0.25">
      <c r="A232" s="51"/>
      <c r="B232" s="48">
        <v>224</v>
      </c>
      <c r="C232" s="32" t="s">
        <v>31</v>
      </c>
      <c r="D232" s="33"/>
      <c r="E232" s="34"/>
      <c r="F232" s="32"/>
      <c r="G232" s="44"/>
      <c r="H232" s="43"/>
      <c r="I232" s="38"/>
      <c r="J232" s="44"/>
      <c r="K232" s="39"/>
      <c r="L232" s="31"/>
      <c r="M232" s="40">
        <f t="shared" si="8"/>
        <v>0</v>
      </c>
      <c r="N232" s="41"/>
      <c r="O232" s="40">
        <f t="shared" si="9"/>
        <v>0</v>
      </c>
      <c r="P232" s="42"/>
    </row>
    <row r="233" spans="1:16" x14ac:dyDescent="0.25">
      <c r="A233" s="51"/>
      <c r="B233" s="48">
        <v>225</v>
      </c>
      <c r="C233" s="32" t="s">
        <v>31</v>
      </c>
      <c r="D233" s="33"/>
      <c r="E233" s="38"/>
      <c r="F233" s="32"/>
      <c r="G233" s="36"/>
      <c r="H233" s="43"/>
      <c r="I233" s="38"/>
      <c r="J233" s="44"/>
      <c r="K233" s="39"/>
      <c r="L233" s="31"/>
      <c r="M233" s="40">
        <f t="shared" si="8"/>
        <v>0</v>
      </c>
      <c r="N233" s="41"/>
      <c r="O233" s="40">
        <f t="shared" si="9"/>
        <v>0</v>
      </c>
      <c r="P233" s="42"/>
    </row>
    <row r="234" spans="1:16" x14ac:dyDescent="0.25">
      <c r="A234" s="52"/>
      <c r="B234" s="48">
        <v>226</v>
      </c>
      <c r="C234" s="32" t="s">
        <v>31</v>
      </c>
      <c r="D234" s="53"/>
      <c r="E234" s="38"/>
      <c r="F234" s="32"/>
      <c r="G234" s="44"/>
      <c r="H234" s="43"/>
      <c r="I234" s="38"/>
      <c r="J234" s="44"/>
      <c r="K234" s="39"/>
      <c r="L234" s="31"/>
      <c r="M234" s="40">
        <f t="shared" si="8"/>
        <v>0</v>
      </c>
      <c r="N234" s="41"/>
      <c r="O234" s="40">
        <f t="shared" si="9"/>
        <v>0</v>
      </c>
      <c r="P234" s="49"/>
    </row>
    <row r="235" spans="1:16" x14ac:dyDescent="0.25">
      <c r="A235" s="52"/>
      <c r="B235" s="48">
        <v>227</v>
      </c>
      <c r="C235" s="32" t="s">
        <v>31</v>
      </c>
      <c r="D235" s="46"/>
      <c r="E235" s="38"/>
      <c r="F235" s="32"/>
      <c r="G235" s="44"/>
      <c r="H235" s="43"/>
      <c r="I235" s="38"/>
      <c r="J235" s="44"/>
      <c r="K235" s="39"/>
      <c r="L235" s="31"/>
      <c r="M235" s="40">
        <f t="shared" si="8"/>
        <v>0</v>
      </c>
      <c r="N235" s="41"/>
      <c r="O235" s="40">
        <f t="shared" si="9"/>
        <v>0</v>
      </c>
      <c r="P235" s="49"/>
    </row>
    <row r="236" spans="1:16" x14ac:dyDescent="0.25">
      <c r="A236" s="52"/>
      <c r="B236" s="48">
        <v>228</v>
      </c>
      <c r="C236" s="32" t="s">
        <v>31</v>
      </c>
      <c r="D236" s="53"/>
      <c r="E236" s="38"/>
      <c r="F236" s="32"/>
      <c r="G236" s="44"/>
      <c r="H236" s="43"/>
      <c r="I236" s="38"/>
      <c r="J236" s="44"/>
      <c r="K236" s="39"/>
      <c r="L236" s="31"/>
      <c r="M236" s="40">
        <f t="shared" si="8"/>
        <v>0</v>
      </c>
      <c r="N236" s="41"/>
      <c r="O236" s="40">
        <f t="shared" si="9"/>
        <v>0</v>
      </c>
      <c r="P236" s="49"/>
    </row>
    <row r="237" spans="1:16" x14ac:dyDescent="0.25">
      <c r="A237" s="52"/>
      <c r="B237" s="48">
        <v>229</v>
      </c>
      <c r="C237" s="32" t="s">
        <v>31</v>
      </c>
      <c r="D237" s="53"/>
      <c r="E237" s="38"/>
      <c r="F237" s="32"/>
      <c r="G237" s="44"/>
      <c r="H237" s="43"/>
      <c r="I237" s="38"/>
      <c r="J237" s="44"/>
      <c r="K237" s="39"/>
      <c r="L237" s="31"/>
      <c r="M237" s="40">
        <f t="shared" si="8"/>
        <v>0</v>
      </c>
      <c r="N237" s="41"/>
      <c r="O237" s="40">
        <f t="shared" si="9"/>
        <v>0</v>
      </c>
      <c r="P237" s="49"/>
    </row>
    <row r="238" spans="1:16" x14ac:dyDescent="0.25">
      <c r="A238" s="52"/>
      <c r="B238" s="48">
        <v>230</v>
      </c>
      <c r="C238" s="32" t="s">
        <v>31</v>
      </c>
      <c r="D238" s="53"/>
      <c r="E238" s="38"/>
      <c r="F238" s="32"/>
      <c r="G238" s="44"/>
      <c r="H238" s="43"/>
      <c r="I238" s="38"/>
      <c r="J238" s="44"/>
      <c r="K238" s="39"/>
      <c r="L238" s="31"/>
      <c r="M238" s="40">
        <f t="shared" si="8"/>
        <v>0</v>
      </c>
      <c r="N238" s="41"/>
      <c r="O238" s="40">
        <f t="shared" si="9"/>
        <v>0</v>
      </c>
      <c r="P238" s="49"/>
    </row>
    <row r="239" spans="1:16" x14ac:dyDescent="0.25">
      <c r="A239" s="52"/>
      <c r="B239" s="48">
        <v>231</v>
      </c>
      <c r="C239" s="32" t="s">
        <v>31</v>
      </c>
      <c r="D239" s="53"/>
      <c r="E239" s="38"/>
      <c r="F239" s="32"/>
      <c r="G239" s="44"/>
      <c r="H239" s="43"/>
      <c r="I239" s="38"/>
      <c r="J239" s="44"/>
      <c r="K239" s="39"/>
      <c r="L239" s="31"/>
      <c r="M239" s="40">
        <f t="shared" si="8"/>
        <v>0</v>
      </c>
      <c r="N239" s="41"/>
      <c r="O239" s="40">
        <f t="shared" si="9"/>
        <v>0</v>
      </c>
      <c r="P239" s="49"/>
    </row>
    <row r="240" spans="1:16" x14ac:dyDescent="0.25">
      <c r="A240" s="52"/>
      <c r="B240" s="48">
        <v>232</v>
      </c>
      <c r="C240" s="32" t="s">
        <v>31</v>
      </c>
      <c r="D240" s="53"/>
      <c r="E240" s="38"/>
      <c r="F240" s="32"/>
      <c r="G240" s="44"/>
      <c r="H240" s="43"/>
      <c r="I240" s="38"/>
      <c r="J240" s="44"/>
      <c r="K240" s="39"/>
      <c r="L240" s="31"/>
      <c r="M240" s="40">
        <f t="shared" si="8"/>
        <v>0</v>
      </c>
      <c r="N240" s="41"/>
      <c r="O240" s="40">
        <f t="shared" si="9"/>
        <v>0</v>
      </c>
      <c r="P240" s="49"/>
    </row>
    <row r="241" spans="1:16" x14ac:dyDescent="0.25">
      <c r="A241" s="52"/>
      <c r="B241" s="48">
        <v>233</v>
      </c>
      <c r="C241" s="32" t="s">
        <v>31</v>
      </c>
      <c r="D241" s="53"/>
      <c r="E241" s="38"/>
      <c r="F241" s="32"/>
      <c r="G241" s="44"/>
      <c r="H241" s="43"/>
      <c r="I241" s="38"/>
      <c r="J241" s="44"/>
      <c r="K241" s="39"/>
      <c r="L241" s="31"/>
      <c r="M241" s="40">
        <f t="shared" si="8"/>
        <v>0</v>
      </c>
      <c r="N241" s="41"/>
      <c r="O241" s="40">
        <f t="shared" si="9"/>
        <v>0</v>
      </c>
      <c r="P241" s="49"/>
    </row>
    <row r="242" spans="1:16" x14ac:dyDescent="0.25">
      <c r="A242" s="52"/>
      <c r="B242" s="48">
        <v>234</v>
      </c>
      <c r="C242" s="32" t="s">
        <v>31</v>
      </c>
      <c r="D242" s="53"/>
      <c r="E242" s="38"/>
      <c r="F242" s="32"/>
      <c r="G242" s="44"/>
      <c r="H242" s="43"/>
      <c r="I242" s="38"/>
      <c r="J242" s="44"/>
      <c r="K242" s="39"/>
      <c r="L242" s="31"/>
      <c r="M242" s="40">
        <f t="shared" si="8"/>
        <v>0</v>
      </c>
      <c r="N242" s="41"/>
      <c r="O242" s="40">
        <f t="shared" si="9"/>
        <v>0</v>
      </c>
      <c r="P242" s="49"/>
    </row>
    <row r="243" spans="1:16" x14ac:dyDescent="0.25">
      <c r="A243" s="52"/>
      <c r="B243" s="48">
        <v>235</v>
      </c>
      <c r="C243" s="32" t="s">
        <v>31</v>
      </c>
      <c r="D243" s="53"/>
      <c r="E243" s="38"/>
      <c r="F243" s="32"/>
      <c r="G243" s="44"/>
      <c r="H243" s="43"/>
      <c r="I243" s="38"/>
      <c r="J243" s="44"/>
      <c r="K243" s="39"/>
      <c r="L243" s="31"/>
      <c r="M243" s="40">
        <f t="shared" si="8"/>
        <v>0</v>
      </c>
      <c r="N243" s="41"/>
      <c r="O243" s="40">
        <f t="shared" si="9"/>
        <v>0</v>
      </c>
      <c r="P243" s="49"/>
    </row>
    <row r="244" spans="1:16" x14ac:dyDescent="0.25">
      <c r="A244" s="52"/>
      <c r="B244" s="48">
        <v>236</v>
      </c>
      <c r="C244" s="32" t="s">
        <v>31</v>
      </c>
      <c r="D244" s="53"/>
      <c r="E244" s="38"/>
      <c r="F244" s="32"/>
      <c r="G244" s="44"/>
      <c r="H244" s="43"/>
      <c r="I244" s="38"/>
      <c r="J244" s="44"/>
      <c r="K244" s="39"/>
      <c r="L244" s="31"/>
      <c r="M244" s="40">
        <f t="shared" ref="M244:M307" si="10">K244/100*L244</f>
        <v>0</v>
      </c>
      <c r="N244" s="41"/>
      <c r="O244" s="40">
        <f t="shared" si="9"/>
        <v>0</v>
      </c>
      <c r="P244" s="49"/>
    </row>
    <row r="245" spans="1:16" x14ac:dyDescent="0.25">
      <c r="A245" s="52"/>
      <c r="B245" s="48">
        <v>237</v>
      </c>
      <c r="C245" s="32" t="s">
        <v>31</v>
      </c>
      <c r="D245" s="53"/>
      <c r="E245" s="38"/>
      <c r="F245" s="32"/>
      <c r="G245" s="44"/>
      <c r="H245" s="43"/>
      <c r="I245" s="38"/>
      <c r="J245" s="44"/>
      <c r="K245" s="39"/>
      <c r="L245" s="31"/>
      <c r="M245" s="40">
        <f t="shared" si="10"/>
        <v>0</v>
      </c>
      <c r="N245" s="41"/>
      <c r="O245" s="40">
        <f t="shared" si="9"/>
        <v>0</v>
      </c>
      <c r="P245" s="49"/>
    </row>
    <row r="246" spans="1:16" x14ac:dyDescent="0.25">
      <c r="A246" s="52"/>
      <c r="B246" s="48">
        <v>238</v>
      </c>
      <c r="C246" s="32" t="s">
        <v>31</v>
      </c>
      <c r="D246" s="46"/>
      <c r="E246" s="38"/>
      <c r="F246" s="32"/>
      <c r="G246" s="44"/>
      <c r="H246" s="43"/>
      <c r="I246" s="38"/>
      <c r="J246" s="44"/>
      <c r="K246" s="39"/>
      <c r="L246" s="31"/>
      <c r="M246" s="40">
        <f t="shared" si="10"/>
        <v>0</v>
      </c>
      <c r="N246" s="41"/>
      <c r="O246" s="40">
        <f t="shared" si="9"/>
        <v>0</v>
      </c>
      <c r="P246" s="49"/>
    </row>
    <row r="247" spans="1:16" x14ac:dyDescent="0.25">
      <c r="A247" s="52"/>
      <c r="B247" s="48">
        <v>239</v>
      </c>
      <c r="C247" s="32" t="s">
        <v>31</v>
      </c>
      <c r="D247" s="53"/>
      <c r="E247" s="38"/>
      <c r="F247" s="32"/>
      <c r="G247" s="44"/>
      <c r="H247" s="43"/>
      <c r="I247" s="38"/>
      <c r="J247" s="44"/>
      <c r="K247" s="39"/>
      <c r="L247" s="31"/>
      <c r="M247" s="40">
        <f t="shared" si="10"/>
        <v>0</v>
      </c>
      <c r="N247" s="41"/>
      <c r="O247" s="40">
        <f t="shared" si="9"/>
        <v>0</v>
      </c>
      <c r="P247" s="49"/>
    </row>
    <row r="248" spans="1:16" x14ac:dyDescent="0.25">
      <c r="A248" s="52"/>
      <c r="B248" s="48">
        <v>240</v>
      </c>
      <c r="C248" s="32" t="s">
        <v>31</v>
      </c>
      <c r="D248" s="53"/>
      <c r="E248" s="38"/>
      <c r="F248" s="32"/>
      <c r="G248" s="44"/>
      <c r="H248" s="43"/>
      <c r="I248" s="38"/>
      <c r="J248" s="44"/>
      <c r="K248" s="39"/>
      <c r="L248" s="31"/>
      <c r="M248" s="40">
        <f t="shared" si="10"/>
        <v>0</v>
      </c>
      <c r="N248" s="41"/>
      <c r="O248" s="40">
        <f t="shared" si="9"/>
        <v>0</v>
      </c>
      <c r="P248" s="49"/>
    </row>
    <row r="249" spans="1:16" x14ac:dyDescent="0.25">
      <c r="A249" s="52"/>
      <c r="B249" s="48">
        <v>241</v>
      </c>
      <c r="C249" s="32" t="s">
        <v>31</v>
      </c>
      <c r="D249" s="53"/>
      <c r="E249" s="38"/>
      <c r="F249" s="32"/>
      <c r="G249" s="44"/>
      <c r="H249" s="43"/>
      <c r="I249" s="38"/>
      <c r="J249" s="44"/>
      <c r="K249" s="39"/>
      <c r="L249" s="31"/>
      <c r="M249" s="40">
        <f t="shared" si="10"/>
        <v>0</v>
      </c>
      <c r="N249" s="41"/>
      <c r="O249" s="40">
        <f t="shared" si="9"/>
        <v>0</v>
      </c>
      <c r="P249" s="49"/>
    </row>
    <row r="250" spans="1:16" x14ac:dyDescent="0.25">
      <c r="A250" s="52"/>
      <c r="B250" s="48">
        <v>242</v>
      </c>
      <c r="C250" s="32" t="s">
        <v>31</v>
      </c>
      <c r="D250" s="53"/>
      <c r="E250" s="38"/>
      <c r="F250" s="32"/>
      <c r="G250" s="44"/>
      <c r="H250" s="43"/>
      <c r="I250" s="38"/>
      <c r="J250" s="44"/>
      <c r="K250" s="39"/>
      <c r="L250" s="31"/>
      <c r="M250" s="40">
        <f t="shared" si="10"/>
        <v>0</v>
      </c>
      <c r="N250" s="41"/>
      <c r="O250" s="40">
        <f t="shared" si="9"/>
        <v>0</v>
      </c>
      <c r="P250" s="49"/>
    </row>
    <row r="251" spans="1:16" x14ac:dyDescent="0.25">
      <c r="A251" s="52"/>
      <c r="B251" s="48">
        <v>243</v>
      </c>
      <c r="C251" s="32" t="s">
        <v>31</v>
      </c>
      <c r="D251" s="53"/>
      <c r="E251" s="38"/>
      <c r="F251" s="32"/>
      <c r="G251" s="44"/>
      <c r="H251" s="43"/>
      <c r="I251" s="38"/>
      <c r="J251" s="44"/>
      <c r="K251" s="39"/>
      <c r="L251" s="31"/>
      <c r="M251" s="40">
        <f t="shared" si="10"/>
        <v>0</v>
      </c>
      <c r="N251" s="41"/>
      <c r="O251" s="40">
        <f t="shared" si="9"/>
        <v>0</v>
      </c>
      <c r="P251" s="49"/>
    </row>
    <row r="252" spans="1:16" x14ac:dyDescent="0.25">
      <c r="A252" s="52"/>
      <c r="B252" s="48">
        <v>244</v>
      </c>
      <c r="C252" s="32" t="s">
        <v>31</v>
      </c>
      <c r="D252" s="53"/>
      <c r="E252" s="38"/>
      <c r="F252" s="32"/>
      <c r="G252" s="44"/>
      <c r="H252" s="43"/>
      <c r="I252" s="38"/>
      <c r="J252" s="44"/>
      <c r="K252" s="39"/>
      <c r="L252" s="31"/>
      <c r="M252" s="40">
        <f t="shared" si="10"/>
        <v>0</v>
      </c>
      <c r="N252" s="41"/>
      <c r="O252" s="40">
        <f t="shared" si="9"/>
        <v>0</v>
      </c>
      <c r="P252" s="49"/>
    </row>
    <row r="253" spans="1:16" x14ac:dyDescent="0.25">
      <c r="A253" s="52"/>
      <c r="B253" s="48">
        <v>245</v>
      </c>
      <c r="C253" s="32" t="s">
        <v>31</v>
      </c>
      <c r="D253" s="53"/>
      <c r="E253" s="38"/>
      <c r="F253" s="32"/>
      <c r="G253" s="44"/>
      <c r="H253" s="43"/>
      <c r="I253" s="38"/>
      <c r="J253" s="44"/>
      <c r="K253" s="39"/>
      <c r="L253" s="31"/>
      <c r="M253" s="40">
        <f t="shared" si="10"/>
        <v>0</v>
      </c>
      <c r="N253" s="41"/>
      <c r="O253" s="40">
        <f t="shared" si="9"/>
        <v>0</v>
      </c>
      <c r="P253" s="49"/>
    </row>
    <row r="254" spans="1:16" x14ac:dyDescent="0.25">
      <c r="A254" s="52"/>
      <c r="B254" s="48">
        <v>246</v>
      </c>
      <c r="C254" s="32" t="s">
        <v>31</v>
      </c>
      <c r="D254" s="53"/>
      <c r="E254" s="38"/>
      <c r="F254" s="32"/>
      <c r="G254" s="44"/>
      <c r="H254" s="43"/>
      <c r="I254" s="38"/>
      <c r="J254" s="44"/>
      <c r="K254" s="39"/>
      <c r="L254" s="31"/>
      <c r="M254" s="40">
        <f t="shared" si="10"/>
        <v>0</v>
      </c>
      <c r="N254" s="41"/>
      <c r="O254" s="40">
        <f t="shared" si="9"/>
        <v>0</v>
      </c>
      <c r="P254" s="49"/>
    </row>
    <row r="255" spans="1:16" x14ac:dyDescent="0.25">
      <c r="A255" s="52"/>
      <c r="B255" s="48">
        <v>247</v>
      </c>
      <c r="C255" s="32" t="s">
        <v>31</v>
      </c>
      <c r="D255" s="53"/>
      <c r="E255" s="38"/>
      <c r="F255" s="32"/>
      <c r="G255" s="44"/>
      <c r="H255" s="43"/>
      <c r="I255" s="38"/>
      <c r="J255" s="44"/>
      <c r="K255" s="39"/>
      <c r="L255" s="31"/>
      <c r="M255" s="40">
        <f t="shared" si="10"/>
        <v>0</v>
      </c>
      <c r="N255" s="41"/>
      <c r="O255" s="40">
        <f t="shared" si="9"/>
        <v>0</v>
      </c>
      <c r="P255" s="49"/>
    </row>
    <row r="256" spans="1:16" x14ac:dyDescent="0.25">
      <c r="A256" s="52"/>
      <c r="B256" s="48">
        <v>248</v>
      </c>
      <c r="C256" s="32" t="s">
        <v>31</v>
      </c>
      <c r="D256" s="53"/>
      <c r="E256" s="38"/>
      <c r="F256" s="32"/>
      <c r="G256" s="44"/>
      <c r="H256" s="43"/>
      <c r="I256" s="38"/>
      <c r="J256" s="44"/>
      <c r="K256" s="39"/>
      <c r="L256" s="31"/>
      <c r="M256" s="40">
        <f t="shared" si="10"/>
        <v>0</v>
      </c>
      <c r="N256" s="41"/>
      <c r="O256" s="40">
        <f t="shared" si="9"/>
        <v>0</v>
      </c>
      <c r="P256" s="49"/>
    </row>
    <row r="257" spans="1:16" x14ac:dyDescent="0.25">
      <c r="A257" s="52"/>
      <c r="B257" s="48">
        <v>249</v>
      </c>
      <c r="C257" s="32" t="s">
        <v>31</v>
      </c>
      <c r="D257" s="53"/>
      <c r="E257" s="38"/>
      <c r="F257" s="32"/>
      <c r="G257" s="44"/>
      <c r="H257" s="43"/>
      <c r="I257" s="38"/>
      <c r="J257" s="44"/>
      <c r="K257" s="39"/>
      <c r="L257" s="31"/>
      <c r="M257" s="40">
        <f t="shared" si="10"/>
        <v>0</v>
      </c>
      <c r="N257" s="41"/>
      <c r="O257" s="40">
        <f t="shared" si="9"/>
        <v>0</v>
      </c>
      <c r="P257" s="49"/>
    </row>
    <row r="258" spans="1:16" x14ac:dyDescent="0.25">
      <c r="A258" s="52"/>
      <c r="B258" s="48">
        <v>250</v>
      </c>
      <c r="C258" s="32" t="s">
        <v>31</v>
      </c>
      <c r="D258" s="53"/>
      <c r="E258" s="38"/>
      <c r="F258" s="32"/>
      <c r="G258" s="44"/>
      <c r="H258" s="43"/>
      <c r="I258" s="38"/>
      <c r="J258" s="44"/>
      <c r="K258" s="39"/>
      <c r="L258" s="31"/>
      <c r="M258" s="40">
        <f t="shared" si="10"/>
        <v>0</v>
      </c>
      <c r="N258" s="41"/>
      <c r="O258" s="40">
        <f t="shared" si="9"/>
        <v>0</v>
      </c>
      <c r="P258" s="49"/>
    </row>
    <row r="259" spans="1:16" x14ac:dyDescent="0.25">
      <c r="A259" s="52"/>
      <c r="B259" s="48">
        <v>251</v>
      </c>
      <c r="C259" s="32" t="s">
        <v>31</v>
      </c>
      <c r="D259" s="53"/>
      <c r="E259" s="38"/>
      <c r="F259" s="32"/>
      <c r="G259" s="44"/>
      <c r="H259" s="43"/>
      <c r="I259" s="38"/>
      <c r="J259" s="44"/>
      <c r="K259" s="39"/>
      <c r="L259" s="31"/>
      <c r="M259" s="40">
        <f t="shared" si="10"/>
        <v>0</v>
      </c>
      <c r="N259" s="41"/>
      <c r="O259" s="40">
        <f t="shared" si="9"/>
        <v>0</v>
      </c>
      <c r="P259" s="49"/>
    </row>
    <row r="260" spans="1:16" x14ac:dyDescent="0.25">
      <c r="A260" s="52"/>
      <c r="B260" s="48">
        <v>252</v>
      </c>
      <c r="C260" s="32" t="s">
        <v>31</v>
      </c>
      <c r="D260" s="53"/>
      <c r="E260" s="38"/>
      <c r="F260" s="32"/>
      <c r="G260" s="44"/>
      <c r="H260" s="43"/>
      <c r="I260" s="38"/>
      <c r="J260" s="44"/>
      <c r="K260" s="39"/>
      <c r="L260" s="31"/>
      <c r="M260" s="40">
        <f t="shared" si="10"/>
        <v>0</v>
      </c>
      <c r="N260" s="41"/>
      <c r="O260" s="40">
        <f t="shared" si="9"/>
        <v>0</v>
      </c>
      <c r="P260" s="49"/>
    </row>
    <row r="261" spans="1:16" x14ac:dyDescent="0.25">
      <c r="A261" s="52"/>
      <c r="B261" s="48">
        <v>253</v>
      </c>
      <c r="C261" s="32" t="s">
        <v>31</v>
      </c>
      <c r="D261" s="53"/>
      <c r="E261" s="38"/>
      <c r="F261" s="32"/>
      <c r="G261" s="44"/>
      <c r="H261" s="43"/>
      <c r="I261" s="38"/>
      <c r="J261" s="44"/>
      <c r="K261" s="39"/>
      <c r="L261" s="31"/>
      <c r="M261" s="40">
        <f t="shared" si="10"/>
        <v>0</v>
      </c>
      <c r="N261" s="41"/>
      <c r="O261" s="40">
        <f t="shared" si="9"/>
        <v>0</v>
      </c>
      <c r="P261" s="49"/>
    </row>
    <row r="262" spans="1:16" x14ac:dyDescent="0.25">
      <c r="A262" s="52"/>
      <c r="B262" s="48">
        <v>254</v>
      </c>
      <c r="C262" s="32" t="s">
        <v>31</v>
      </c>
      <c r="D262" s="32"/>
      <c r="E262" s="38"/>
      <c r="F262" s="32"/>
      <c r="G262" s="44"/>
      <c r="H262" s="43"/>
      <c r="I262" s="38"/>
      <c r="J262" s="44"/>
      <c r="K262" s="39"/>
      <c r="L262" s="31"/>
      <c r="M262" s="40">
        <f t="shared" si="10"/>
        <v>0</v>
      </c>
      <c r="N262" s="41"/>
      <c r="O262" s="40">
        <f t="shared" si="9"/>
        <v>0</v>
      </c>
      <c r="P262" s="49"/>
    </row>
    <row r="263" spans="1:16" x14ac:dyDescent="0.25">
      <c r="A263" s="52"/>
      <c r="B263" s="48">
        <v>255</v>
      </c>
      <c r="C263" s="32" t="s">
        <v>31</v>
      </c>
      <c r="D263" s="46"/>
      <c r="E263" s="38"/>
      <c r="F263" s="32"/>
      <c r="G263" s="44"/>
      <c r="H263" s="43"/>
      <c r="I263" s="38"/>
      <c r="J263" s="44"/>
      <c r="K263" s="39"/>
      <c r="L263" s="31"/>
      <c r="M263" s="40">
        <f t="shared" si="10"/>
        <v>0</v>
      </c>
      <c r="N263" s="41"/>
      <c r="O263" s="40">
        <f t="shared" si="9"/>
        <v>0</v>
      </c>
      <c r="P263" s="49"/>
    </row>
    <row r="264" spans="1:16" x14ac:dyDescent="0.25">
      <c r="A264" s="52"/>
      <c r="B264" s="48">
        <v>256</v>
      </c>
      <c r="C264" s="32" t="s">
        <v>31</v>
      </c>
      <c r="D264" s="53"/>
      <c r="E264" s="38"/>
      <c r="F264" s="32"/>
      <c r="G264" s="44"/>
      <c r="H264" s="43"/>
      <c r="I264" s="38"/>
      <c r="J264" s="44"/>
      <c r="K264" s="39"/>
      <c r="L264" s="31"/>
      <c r="M264" s="40">
        <f t="shared" si="10"/>
        <v>0</v>
      </c>
      <c r="N264" s="41"/>
      <c r="O264" s="40">
        <f t="shared" si="9"/>
        <v>0</v>
      </c>
      <c r="P264" s="49"/>
    </row>
    <row r="265" spans="1:16" x14ac:dyDescent="0.25">
      <c r="A265" s="52"/>
      <c r="B265" s="48">
        <v>257</v>
      </c>
      <c r="C265" s="32" t="s">
        <v>31</v>
      </c>
      <c r="D265" s="53"/>
      <c r="E265" s="38"/>
      <c r="F265" s="32"/>
      <c r="G265" s="44"/>
      <c r="H265" s="43"/>
      <c r="I265" s="38"/>
      <c r="J265" s="44"/>
      <c r="K265" s="39"/>
      <c r="L265" s="31"/>
      <c r="M265" s="40">
        <f t="shared" si="10"/>
        <v>0</v>
      </c>
      <c r="N265" s="41"/>
      <c r="O265" s="40">
        <f t="shared" ref="O265:O322" si="11">N265*M265</f>
        <v>0</v>
      </c>
      <c r="P265" s="49"/>
    </row>
    <row r="266" spans="1:16" x14ac:dyDescent="0.25">
      <c r="A266" s="52"/>
      <c r="B266" s="48">
        <v>258</v>
      </c>
      <c r="C266" s="32" t="s">
        <v>31</v>
      </c>
      <c r="D266" s="53"/>
      <c r="E266" s="38"/>
      <c r="F266" s="32"/>
      <c r="G266" s="44"/>
      <c r="H266" s="43"/>
      <c r="I266" s="38"/>
      <c r="J266" s="44"/>
      <c r="K266" s="39"/>
      <c r="L266" s="31"/>
      <c r="M266" s="40">
        <f t="shared" si="10"/>
        <v>0</v>
      </c>
      <c r="N266" s="41"/>
      <c r="O266" s="40">
        <f t="shared" si="11"/>
        <v>0</v>
      </c>
      <c r="P266" s="49"/>
    </row>
    <row r="267" spans="1:16" x14ac:dyDescent="0.25">
      <c r="A267" s="52"/>
      <c r="B267" s="48">
        <v>259</v>
      </c>
      <c r="C267" s="32" t="s">
        <v>31</v>
      </c>
      <c r="D267" s="53"/>
      <c r="E267" s="38"/>
      <c r="F267" s="32"/>
      <c r="G267" s="44"/>
      <c r="H267" s="43"/>
      <c r="I267" s="38"/>
      <c r="J267" s="44"/>
      <c r="K267" s="39"/>
      <c r="L267" s="31"/>
      <c r="M267" s="40">
        <f t="shared" si="10"/>
        <v>0</v>
      </c>
      <c r="N267" s="41"/>
      <c r="O267" s="40">
        <f t="shared" si="11"/>
        <v>0</v>
      </c>
      <c r="P267" s="49"/>
    </row>
    <row r="268" spans="1:16" x14ac:dyDescent="0.25">
      <c r="A268" s="52"/>
      <c r="B268" s="48">
        <v>260</v>
      </c>
      <c r="C268" s="32" t="s">
        <v>31</v>
      </c>
      <c r="D268" s="53"/>
      <c r="E268" s="38"/>
      <c r="F268" s="32"/>
      <c r="G268" s="44"/>
      <c r="H268" s="43"/>
      <c r="I268" s="38"/>
      <c r="J268" s="44"/>
      <c r="K268" s="39"/>
      <c r="L268" s="31"/>
      <c r="M268" s="40">
        <f t="shared" si="10"/>
        <v>0</v>
      </c>
      <c r="N268" s="41"/>
      <c r="O268" s="40">
        <f t="shared" si="11"/>
        <v>0</v>
      </c>
      <c r="P268" s="49"/>
    </row>
    <row r="269" spans="1:16" x14ac:dyDescent="0.25">
      <c r="A269" s="52"/>
      <c r="B269" s="48">
        <v>261</v>
      </c>
      <c r="C269" s="32" t="s">
        <v>31</v>
      </c>
      <c r="D269" s="32"/>
      <c r="E269" s="38"/>
      <c r="F269" s="32"/>
      <c r="G269" s="44"/>
      <c r="H269" s="43"/>
      <c r="I269" s="38"/>
      <c r="J269" s="44"/>
      <c r="K269" s="39"/>
      <c r="L269" s="31"/>
      <c r="M269" s="40">
        <f t="shared" si="10"/>
        <v>0</v>
      </c>
      <c r="N269" s="41"/>
      <c r="O269" s="40">
        <f t="shared" si="11"/>
        <v>0</v>
      </c>
      <c r="P269" s="49"/>
    </row>
    <row r="270" spans="1:16" x14ac:dyDescent="0.25">
      <c r="A270" s="52"/>
      <c r="B270" s="48">
        <v>262</v>
      </c>
      <c r="C270" s="32" t="s">
        <v>31</v>
      </c>
      <c r="D270" s="53"/>
      <c r="E270" s="38"/>
      <c r="F270" s="32"/>
      <c r="G270" s="44"/>
      <c r="H270" s="43"/>
      <c r="I270" s="38"/>
      <c r="J270" s="44"/>
      <c r="K270" s="39"/>
      <c r="L270" s="31"/>
      <c r="M270" s="40">
        <f t="shared" si="10"/>
        <v>0</v>
      </c>
      <c r="N270" s="41"/>
      <c r="O270" s="40">
        <f t="shared" si="11"/>
        <v>0</v>
      </c>
      <c r="P270" s="49"/>
    </row>
    <row r="271" spans="1:16" x14ac:dyDescent="0.25">
      <c r="A271" s="52"/>
      <c r="B271" s="48">
        <v>263</v>
      </c>
      <c r="C271" s="32" t="s">
        <v>31</v>
      </c>
      <c r="D271" s="53"/>
      <c r="E271" s="38"/>
      <c r="F271" s="32"/>
      <c r="G271" s="44"/>
      <c r="H271" s="43"/>
      <c r="I271" s="38"/>
      <c r="J271" s="44"/>
      <c r="K271" s="39"/>
      <c r="L271" s="31"/>
      <c r="M271" s="40">
        <f t="shared" si="10"/>
        <v>0</v>
      </c>
      <c r="N271" s="41"/>
      <c r="O271" s="40">
        <f t="shared" si="11"/>
        <v>0</v>
      </c>
      <c r="P271" s="49"/>
    </row>
    <row r="272" spans="1:16" x14ac:dyDescent="0.25">
      <c r="A272" s="52"/>
      <c r="B272" s="48">
        <v>264</v>
      </c>
      <c r="C272" s="32" t="s">
        <v>31</v>
      </c>
      <c r="D272" s="53"/>
      <c r="E272" s="38"/>
      <c r="F272" s="32"/>
      <c r="G272" s="44"/>
      <c r="H272" s="43"/>
      <c r="I272" s="38"/>
      <c r="J272" s="44"/>
      <c r="K272" s="39"/>
      <c r="L272" s="31"/>
      <c r="M272" s="40">
        <f t="shared" si="10"/>
        <v>0</v>
      </c>
      <c r="N272" s="41"/>
      <c r="O272" s="40">
        <f t="shared" si="11"/>
        <v>0</v>
      </c>
      <c r="P272" s="49"/>
    </row>
    <row r="273" spans="1:16" x14ac:dyDescent="0.25">
      <c r="A273" s="52"/>
      <c r="B273" s="48">
        <v>265</v>
      </c>
      <c r="C273" s="32" t="s">
        <v>31</v>
      </c>
      <c r="D273" s="53"/>
      <c r="E273" s="38"/>
      <c r="F273" s="32"/>
      <c r="G273" s="44"/>
      <c r="H273" s="43"/>
      <c r="I273" s="38"/>
      <c r="J273" s="44"/>
      <c r="K273" s="39"/>
      <c r="L273" s="31"/>
      <c r="M273" s="40">
        <f t="shared" si="10"/>
        <v>0</v>
      </c>
      <c r="N273" s="41"/>
      <c r="O273" s="40">
        <f t="shared" si="11"/>
        <v>0</v>
      </c>
      <c r="P273" s="49"/>
    </row>
    <row r="274" spans="1:16" x14ac:dyDescent="0.25">
      <c r="A274" s="52"/>
      <c r="B274" s="48">
        <v>266</v>
      </c>
      <c r="C274" s="32" t="s">
        <v>31</v>
      </c>
      <c r="D274" s="53"/>
      <c r="E274" s="38"/>
      <c r="F274" s="32"/>
      <c r="G274" s="44"/>
      <c r="H274" s="43"/>
      <c r="I274" s="38"/>
      <c r="J274" s="44"/>
      <c r="K274" s="39"/>
      <c r="L274" s="31"/>
      <c r="M274" s="40">
        <f t="shared" si="10"/>
        <v>0</v>
      </c>
      <c r="N274" s="41"/>
      <c r="O274" s="40">
        <f t="shared" si="11"/>
        <v>0</v>
      </c>
      <c r="P274" s="49"/>
    </row>
    <row r="275" spans="1:16" x14ac:dyDescent="0.25">
      <c r="A275" s="52"/>
      <c r="B275" s="48">
        <v>267</v>
      </c>
      <c r="C275" s="32" t="s">
        <v>31</v>
      </c>
      <c r="D275" s="53"/>
      <c r="E275" s="38"/>
      <c r="F275" s="32"/>
      <c r="G275" s="44"/>
      <c r="H275" s="43"/>
      <c r="I275" s="38"/>
      <c r="J275" s="44"/>
      <c r="K275" s="39"/>
      <c r="L275" s="31"/>
      <c r="M275" s="40">
        <f t="shared" si="10"/>
        <v>0</v>
      </c>
      <c r="N275" s="41"/>
      <c r="O275" s="40">
        <f t="shared" si="11"/>
        <v>0</v>
      </c>
      <c r="P275" s="49"/>
    </row>
    <row r="276" spans="1:16" x14ac:dyDescent="0.25">
      <c r="A276" s="52"/>
      <c r="B276" s="48">
        <v>268</v>
      </c>
      <c r="C276" s="32" t="s">
        <v>31</v>
      </c>
      <c r="D276" s="53"/>
      <c r="E276" s="38"/>
      <c r="F276" s="32"/>
      <c r="G276" s="44"/>
      <c r="H276" s="43"/>
      <c r="I276" s="38"/>
      <c r="J276" s="44"/>
      <c r="K276" s="39"/>
      <c r="L276" s="31"/>
      <c r="M276" s="40">
        <f t="shared" si="10"/>
        <v>0</v>
      </c>
      <c r="N276" s="41"/>
      <c r="O276" s="40">
        <f t="shared" si="11"/>
        <v>0</v>
      </c>
      <c r="P276" s="49"/>
    </row>
    <row r="277" spans="1:16" x14ac:dyDescent="0.25">
      <c r="A277" s="52"/>
      <c r="B277" s="48">
        <v>269</v>
      </c>
      <c r="C277" s="32" t="s">
        <v>31</v>
      </c>
      <c r="D277" s="53"/>
      <c r="E277" s="38"/>
      <c r="F277" s="32"/>
      <c r="G277" s="44"/>
      <c r="H277" s="43"/>
      <c r="I277" s="38"/>
      <c r="J277" s="44"/>
      <c r="K277" s="39"/>
      <c r="L277" s="31"/>
      <c r="M277" s="40">
        <f t="shared" si="10"/>
        <v>0</v>
      </c>
      <c r="N277" s="41"/>
      <c r="O277" s="40">
        <f t="shared" si="11"/>
        <v>0</v>
      </c>
      <c r="P277" s="49"/>
    </row>
    <row r="278" spans="1:16" x14ac:dyDescent="0.25">
      <c r="A278" s="52"/>
      <c r="B278" s="48">
        <v>270</v>
      </c>
      <c r="C278" s="32" t="s">
        <v>31</v>
      </c>
      <c r="D278" s="53"/>
      <c r="E278" s="38"/>
      <c r="F278" s="32"/>
      <c r="G278" s="44"/>
      <c r="H278" s="43"/>
      <c r="I278" s="38"/>
      <c r="J278" s="44"/>
      <c r="K278" s="39"/>
      <c r="L278" s="31"/>
      <c r="M278" s="40">
        <f t="shared" si="10"/>
        <v>0</v>
      </c>
      <c r="N278" s="41"/>
      <c r="O278" s="40">
        <f t="shared" si="11"/>
        <v>0</v>
      </c>
      <c r="P278" s="49"/>
    </row>
    <row r="279" spans="1:16" x14ac:dyDescent="0.25">
      <c r="A279" s="52"/>
      <c r="B279" s="48">
        <v>271</v>
      </c>
      <c r="C279" s="32" t="s">
        <v>31</v>
      </c>
      <c r="D279" s="53"/>
      <c r="E279" s="38"/>
      <c r="F279" s="32"/>
      <c r="G279" s="44"/>
      <c r="H279" s="43"/>
      <c r="I279" s="38"/>
      <c r="J279" s="44"/>
      <c r="K279" s="39"/>
      <c r="L279" s="31"/>
      <c r="M279" s="40">
        <f t="shared" si="10"/>
        <v>0</v>
      </c>
      <c r="N279" s="41"/>
      <c r="O279" s="40">
        <f t="shared" si="11"/>
        <v>0</v>
      </c>
      <c r="P279" s="49"/>
    </row>
    <row r="280" spans="1:16" x14ac:dyDescent="0.25">
      <c r="A280" s="52"/>
      <c r="B280" s="48">
        <v>272</v>
      </c>
      <c r="C280" s="32" t="s">
        <v>31</v>
      </c>
      <c r="D280" s="53"/>
      <c r="E280" s="38"/>
      <c r="F280" s="32"/>
      <c r="G280" s="44"/>
      <c r="H280" s="43"/>
      <c r="I280" s="38"/>
      <c r="J280" s="44"/>
      <c r="K280" s="39"/>
      <c r="L280" s="31"/>
      <c r="M280" s="40">
        <f t="shared" si="10"/>
        <v>0</v>
      </c>
      <c r="N280" s="41"/>
      <c r="O280" s="40">
        <f t="shared" si="11"/>
        <v>0</v>
      </c>
      <c r="P280" s="49"/>
    </row>
    <row r="281" spans="1:16" x14ac:dyDescent="0.25">
      <c r="A281" s="52"/>
      <c r="B281" s="48">
        <v>273</v>
      </c>
      <c r="C281" s="32" t="s">
        <v>31</v>
      </c>
      <c r="D281" s="53"/>
      <c r="E281" s="38"/>
      <c r="F281" s="32"/>
      <c r="G281" s="44"/>
      <c r="H281" s="43"/>
      <c r="I281" s="38"/>
      <c r="J281" s="44"/>
      <c r="K281" s="39"/>
      <c r="L281" s="31"/>
      <c r="M281" s="40">
        <f t="shared" si="10"/>
        <v>0</v>
      </c>
      <c r="N281" s="41"/>
      <c r="O281" s="40">
        <f t="shared" si="11"/>
        <v>0</v>
      </c>
      <c r="P281" s="49"/>
    </row>
    <row r="282" spans="1:16" x14ac:dyDescent="0.25">
      <c r="A282" s="52"/>
      <c r="B282" s="48">
        <v>274</v>
      </c>
      <c r="C282" s="32" t="s">
        <v>31</v>
      </c>
      <c r="D282" s="53"/>
      <c r="E282" s="38"/>
      <c r="F282" s="32"/>
      <c r="G282" s="44"/>
      <c r="H282" s="43"/>
      <c r="I282" s="38"/>
      <c r="J282" s="44"/>
      <c r="K282" s="39"/>
      <c r="L282" s="31"/>
      <c r="M282" s="40">
        <f t="shared" si="10"/>
        <v>0</v>
      </c>
      <c r="N282" s="41"/>
      <c r="O282" s="40">
        <f t="shared" si="11"/>
        <v>0</v>
      </c>
      <c r="P282" s="49"/>
    </row>
    <row r="283" spans="1:16" x14ac:dyDescent="0.25">
      <c r="A283" s="52"/>
      <c r="B283" s="48">
        <v>275</v>
      </c>
      <c r="C283" s="32" t="s">
        <v>31</v>
      </c>
      <c r="D283" s="53"/>
      <c r="E283" s="38"/>
      <c r="F283" s="32"/>
      <c r="G283" s="44"/>
      <c r="H283" s="43"/>
      <c r="I283" s="38"/>
      <c r="J283" s="44"/>
      <c r="K283" s="39"/>
      <c r="L283" s="31"/>
      <c r="M283" s="40">
        <f t="shared" si="10"/>
        <v>0</v>
      </c>
      <c r="N283" s="41"/>
      <c r="O283" s="40">
        <f t="shared" si="11"/>
        <v>0</v>
      </c>
      <c r="P283" s="49"/>
    </row>
    <row r="284" spans="1:16" x14ac:dyDescent="0.25">
      <c r="A284" s="52"/>
      <c r="B284" s="48">
        <v>276</v>
      </c>
      <c r="C284" s="32" t="s">
        <v>31</v>
      </c>
      <c r="D284" s="53"/>
      <c r="E284" s="38"/>
      <c r="F284" s="32"/>
      <c r="G284" s="44"/>
      <c r="H284" s="43"/>
      <c r="I284" s="38"/>
      <c r="J284" s="44"/>
      <c r="K284" s="39"/>
      <c r="L284" s="31"/>
      <c r="M284" s="40">
        <f t="shared" si="10"/>
        <v>0</v>
      </c>
      <c r="N284" s="41"/>
      <c r="O284" s="40">
        <f t="shared" si="11"/>
        <v>0</v>
      </c>
      <c r="P284" s="49"/>
    </row>
    <row r="285" spans="1:16" x14ac:dyDescent="0.25">
      <c r="A285" s="52"/>
      <c r="B285" s="48">
        <v>277</v>
      </c>
      <c r="C285" s="32" t="s">
        <v>31</v>
      </c>
      <c r="D285" s="53"/>
      <c r="E285" s="38"/>
      <c r="F285" s="32"/>
      <c r="G285" s="44"/>
      <c r="H285" s="43"/>
      <c r="I285" s="38"/>
      <c r="J285" s="44"/>
      <c r="K285" s="39"/>
      <c r="L285" s="31"/>
      <c r="M285" s="40">
        <f t="shared" si="10"/>
        <v>0</v>
      </c>
      <c r="N285" s="41"/>
      <c r="O285" s="40">
        <f t="shared" si="11"/>
        <v>0</v>
      </c>
      <c r="P285" s="49"/>
    </row>
    <row r="286" spans="1:16" x14ac:dyDescent="0.25">
      <c r="A286" s="52"/>
      <c r="B286" s="48">
        <v>278</v>
      </c>
      <c r="C286" s="32" t="s">
        <v>31</v>
      </c>
      <c r="D286" s="53"/>
      <c r="E286" s="38"/>
      <c r="F286" s="32"/>
      <c r="G286" s="44"/>
      <c r="H286" s="43"/>
      <c r="I286" s="38"/>
      <c r="J286" s="44"/>
      <c r="K286" s="39"/>
      <c r="L286" s="31"/>
      <c r="M286" s="40">
        <f t="shared" si="10"/>
        <v>0</v>
      </c>
      <c r="N286" s="41"/>
      <c r="O286" s="40">
        <f t="shared" si="11"/>
        <v>0</v>
      </c>
      <c r="P286" s="49"/>
    </row>
    <row r="287" spans="1:16" x14ac:dyDescent="0.25">
      <c r="A287" s="52"/>
      <c r="B287" s="48">
        <v>279</v>
      </c>
      <c r="C287" s="32" t="s">
        <v>31</v>
      </c>
      <c r="D287" s="53"/>
      <c r="E287" s="38"/>
      <c r="F287" s="32"/>
      <c r="G287" s="44"/>
      <c r="H287" s="43"/>
      <c r="I287" s="38"/>
      <c r="J287" s="44"/>
      <c r="K287" s="39"/>
      <c r="L287" s="31"/>
      <c r="M287" s="40">
        <f t="shared" si="10"/>
        <v>0</v>
      </c>
      <c r="N287" s="41"/>
      <c r="O287" s="40">
        <f t="shared" si="11"/>
        <v>0</v>
      </c>
      <c r="P287" s="49"/>
    </row>
    <row r="288" spans="1:16" x14ac:dyDescent="0.25">
      <c r="A288" s="52"/>
      <c r="B288" s="48">
        <v>280</v>
      </c>
      <c r="C288" s="32" t="s">
        <v>31</v>
      </c>
      <c r="D288" s="53"/>
      <c r="E288" s="38"/>
      <c r="F288" s="32"/>
      <c r="G288" s="44"/>
      <c r="H288" s="43"/>
      <c r="I288" s="38"/>
      <c r="J288" s="44"/>
      <c r="K288" s="39"/>
      <c r="L288" s="31"/>
      <c r="M288" s="40">
        <f t="shared" si="10"/>
        <v>0</v>
      </c>
      <c r="N288" s="41"/>
      <c r="O288" s="40">
        <f t="shared" si="11"/>
        <v>0</v>
      </c>
      <c r="P288" s="49"/>
    </row>
    <row r="289" spans="1:16" x14ac:dyDescent="0.25">
      <c r="A289" s="52"/>
      <c r="B289" s="48">
        <v>281</v>
      </c>
      <c r="C289" s="32" t="s">
        <v>31</v>
      </c>
      <c r="D289" s="53"/>
      <c r="E289" s="38"/>
      <c r="F289" s="32"/>
      <c r="G289" s="44"/>
      <c r="H289" s="43"/>
      <c r="I289" s="38"/>
      <c r="J289" s="44"/>
      <c r="K289" s="39"/>
      <c r="L289" s="31"/>
      <c r="M289" s="40">
        <f t="shared" si="10"/>
        <v>0</v>
      </c>
      <c r="N289" s="41"/>
      <c r="O289" s="40">
        <f t="shared" si="11"/>
        <v>0</v>
      </c>
      <c r="P289" s="49"/>
    </row>
    <row r="290" spans="1:16" x14ac:dyDescent="0.25">
      <c r="A290" s="52"/>
      <c r="B290" s="48">
        <v>282</v>
      </c>
      <c r="C290" s="32" t="s">
        <v>31</v>
      </c>
      <c r="D290" s="53"/>
      <c r="E290" s="38"/>
      <c r="F290" s="32"/>
      <c r="G290" s="44"/>
      <c r="H290" s="43"/>
      <c r="I290" s="38"/>
      <c r="J290" s="44"/>
      <c r="K290" s="39"/>
      <c r="L290" s="31"/>
      <c r="M290" s="40">
        <f t="shared" si="10"/>
        <v>0</v>
      </c>
      <c r="N290" s="41"/>
      <c r="O290" s="40">
        <f t="shared" si="11"/>
        <v>0</v>
      </c>
      <c r="P290" s="49"/>
    </row>
    <row r="291" spans="1:16" x14ac:dyDescent="0.25">
      <c r="A291" s="52"/>
      <c r="B291" s="48">
        <v>283</v>
      </c>
      <c r="C291" s="32" t="s">
        <v>31</v>
      </c>
      <c r="D291" s="53"/>
      <c r="E291" s="38"/>
      <c r="F291" s="32"/>
      <c r="G291" s="44"/>
      <c r="H291" s="43"/>
      <c r="I291" s="38"/>
      <c r="J291" s="44"/>
      <c r="K291" s="39"/>
      <c r="L291" s="31"/>
      <c r="M291" s="40">
        <f t="shared" si="10"/>
        <v>0</v>
      </c>
      <c r="N291" s="41"/>
      <c r="O291" s="40">
        <f t="shared" si="11"/>
        <v>0</v>
      </c>
      <c r="P291" s="49"/>
    </row>
    <row r="292" spans="1:16" x14ac:dyDescent="0.25">
      <c r="A292" s="52"/>
      <c r="B292" s="48">
        <v>284</v>
      </c>
      <c r="C292" s="32" t="s">
        <v>31</v>
      </c>
      <c r="D292" s="53"/>
      <c r="E292" s="38"/>
      <c r="F292" s="32"/>
      <c r="G292" s="44"/>
      <c r="H292" s="43"/>
      <c r="I292" s="38"/>
      <c r="J292" s="44"/>
      <c r="K292" s="39"/>
      <c r="L292" s="31"/>
      <c r="M292" s="40">
        <f t="shared" si="10"/>
        <v>0</v>
      </c>
      <c r="N292" s="41"/>
      <c r="O292" s="40">
        <f t="shared" si="11"/>
        <v>0</v>
      </c>
      <c r="P292" s="49"/>
    </row>
    <row r="293" spans="1:16" x14ac:dyDescent="0.25">
      <c r="A293" s="52"/>
      <c r="B293" s="48">
        <v>285</v>
      </c>
      <c r="C293" s="32" t="s">
        <v>31</v>
      </c>
      <c r="D293" s="53"/>
      <c r="E293" s="38"/>
      <c r="F293" s="32"/>
      <c r="G293" s="44"/>
      <c r="H293" s="43"/>
      <c r="I293" s="38"/>
      <c r="J293" s="44"/>
      <c r="K293" s="39"/>
      <c r="L293" s="31"/>
      <c r="M293" s="40">
        <f t="shared" si="10"/>
        <v>0</v>
      </c>
      <c r="N293" s="41"/>
      <c r="O293" s="40">
        <f t="shared" si="11"/>
        <v>0</v>
      </c>
      <c r="P293" s="49"/>
    </row>
    <row r="294" spans="1:16" x14ac:dyDescent="0.25">
      <c r="A294" s="52"/>
      <c r="B294" s="48">
        <v>286</v>
      </c>
      <c r="C294" s="32" t="s">
        <v>31</v>
      </c>
      <c r="D294" s="53"/>
      <c r="E294" s="38"/>
      <c r="F294" s="32"/>
      <c r="G294" s="44"/>
      <c r="H294" s="43"/>
      <c r="I294" s="38"/>
      <c r="J294" s="44"/>
      <c r="K294" s="39"/>
      <c r="L294" s="31"/>
      <c r="M294" s="40">
        <f t="shared" si="10"/>
        <v>0</v>
      </c>
      <c r="N294" s="41"/>
      <c r="O294" s="40">
        <f t="shared" si="11"/>
        <v>0</v>
      </c>
      <c r="P294" s="49"/>
    </row>
    <row r="295" spans="1:16" x14ac:dyDescent="0.25">
      <c r="A295" s="52"/>
      <c r="B295" s="48">
        <v>287</v>
      </c>
      <c r="C295" s="32" t="s">
        <v>31</v>
      </c>
      <c r="D295" s="32"/>
      <c r="E295" s="38"/>
      <c r="F295" s="32"/>
      <c r="G295" s="44"/>
      <c r="H295" s="43"/>
      <c r="I295" s="38"/>
      <c r="J295" s="44"/>
      <c r="K295" s="39"/>
      <c r="L295" s="31"/>
      <c r="M295" s="40">
        <f t="shared" si="10"/>
        <v>0</v>
      </c>
      <c r="N295" s="41"/>
      <c r="O295" s="40">
        <f t="shared" si="11"/>
        <v>0</v>
      </c>
      <c r="P295" s="49"/>
    </row>
    <row r="296" spans="1:16" x14ac:dyDescent="0.25">
      <c r="A296" s="52"/>
      <c r="B296" s="48">
        <v>288</v>
      </c>
      <c r="C296" s="32" t="s">
        <v>31</v>
      </c>
      <c r="D296" s="53"/>
      <c r="E296" s="38"/>
      <c r="F296" s="32"/>
      <c r="G296" s="44"/>
      <c r="H296" s="43"/>
      <c r="I296" s="38"/>
      <c r="J296" s="44"/>
      <c r="K296" s="39"/>
      <c r="L296" s="31"/>
      <c r="M296" s="40">
        <f t="shared" si="10"/>
        <v>0</v>
      </c>
      <c r="N296" s="41"/>
      <c r="O296" s="40">
        <f t="shared" si="11"/>
        <v>0</v>
      </c>
      <c r="P296" s="49"/>
    </row>
    <row r="297" spans="1:16" x14ac:dyDescent="0.25">
      <c r="A297" s="52"/>
      <c r="B297" s="48">
        <v>289</v>
      </c>
      <c r="C297" s="32" t="s">
        <v>31</v>
      </c>
      <c r="D297" s="53"/>
      <c r="E297" s="38"/>
      <c r="F297" s="32"/>
      <c r="G297" s="44"/>
      <c r="H297" s="43"/>
      <c r="I297" s="38"/>
      <c r="J297" s="44"/>
      <c r="K297" s="39"/>
      <c r="L297" s="31"/>
      <c r="M297" s="40">
        <f t="shared" si="10"/>
        <v>0</v>
      </c>
      <c r="N297" s="41"/>
      <c r="O297" s="40">
        <f t="shared" si="11"/>
        <v>0</v>
      </c>
      <c r="P297" s="49"/>
    </row>
    <row r="298" spans="1:16" x14ac:dyDescent="0.25">
      <c r="A298" s="52"/>
      <c r="B298" s="48">
        <v>290</v>
      </c>
      <c r="C298" s="32" t="s">
        <v>31</v>
      </c>
      <c r="D298" s="53"/>
      <c r="E298" s="38"/>
      <c r="F298" s="32"/>
      <c r="G298" s="44"/>
      <c r="H298" s="43"/>
      <c r="I298" s="38"/>
      <c r="J298" s="44"/>
      <c r="K298" s="39"/>
      <c r="L298" s="31"/>
      <c r="M298" s="40">
        <f t="shared" si="10"/>
        <v>0</v>
      </c>
      <c r="N298" s="41"/>
      <c r="O298" s="40">
        <f t="shared" si="11"/>
        <v>0</v>
      </c>
      <c r="P298" s="49"/>
    </row>
    <row r="299" spans="1:16" x14ac:dyDescent="0.25">
      <c r="A299" s="52"/>
      <c r="B299" s="48">
        <v>291</v>
      </c>
      <c r="C299" s="32" t="s">
        <v>31</v>
      </c>
      <c r="D299" s="53"/>
      <c r="E299" s="38"/>
      <c r="F299" s="32"/>
      <c r="G299" s="44"/>
      <c r="H299" s="43"/>
      <c r="I299" s="38"/>
      <c r="J299" s="44"/>
      <c r="K299" s="39"/>
      <c r="L299" s="31"/>
      <c r="M299" s="40">
        <f t="shared" si="10"/>
        <v>0</v>
      </c>
      <c r="N299" s="41"/>
      <c r="O299" s="40">
        <f t="shared" si="11"/>
        <v>0</v>
      </c>
      <c r="P299" s="49"/>
    </row>
    <row r="300" spans="1:16" x14ac:dyDescent="0.25">
      <c r="A300" s="52"/>
      <c r="B300" s="48">
        <v>292</v>
      </c>
      <c r="C300" s="32" t="s">
        <v>31</v>
      </c>
      <c r="D300" s="53"/>
      <c r="E300" s="38"/>
      <c r="F300" s="32"/>
      <c r="G300" s="44"/>
      <c r="H300" s="43"/>
      <c r="I300" s="38"/>
      <c r="J300" s="44"/>
      <c r="K300" s="39"/>
      <c r="L300" s="31"/>
      <c r="M300" s="40">
        <f t="shared" si="10"/>
        <v>0</v>
      </c>
      <c r="N300" s="41"/>
      <c r="O300" s="40">
        <f t="shared" si="11"/>
        <v>0</v>
      </c>
      <c r="P300" s="49"/>
    </row>
    <row r="301" spans="1:16" x14ac:dyDescent="0.25">
      <c r="A301" s="52"/>
      <c r="B301" s="48">
        <v>293</v>
      </c>
      <c r="C301" s="32" t="s">
        <v>31</v>
      </c>
      <c r="D301" s="53"/>
      <c r="E301" s="38"/>
      <c r="F301" s="32"/>
      <c r="G301" s="44"/>
      <c r="H301" s="43"/>
      <c r="I301" s="38"/>
      <c r="J301" s="44"/>
      <c r="K301" s="39"/>
      <c r="L301" s="31"/>
      <c r="M301" s="40">
        <f t="shared" si="10"/>
        <v>0</v>
      </c>
      <c r="N301" s="41"/>
      <c r="O301" s="40">
        <f t="shared" si="11"/>
        <v>0</v>
      </c>
      <c r="P301" s="49"/>
    </row>
    <row r="302" spans="1:16" x14ac:dyDescent="0.25">
      <c r="A302" s="52"/>
      <c r="B302" s="48">
        <v>294</v>
      </c>
      <c r="C302" s="32" t="s">
        <v>31</v>
      </c>
      <c r="D302" s="53"/>
      <c r="E302" s="38"/>
      <c r="F302" s="32"/>
      <c r="G302" s="44"/>
      <c r="H302" s="43"/>
      <c r="I302" s="38"/>
      <c r="J302" s="44"/>
      <c r="K302" s="39"/>
      <c r="L302" s="31"/>
      <c r="M302" s="40">
        <f t="shared" si="10"/>
        <v>0</v>
      </c>
      <c r="N302" s="41"/>
      <c r="O302" s="40">
        <f t="shared" si="11"/>
        <v>0</v>
      </c>
      <c r="P302" s="49"/>
    </row>
    <row r="303" spans="1:16" x14ac:dyDescent="0.25">
      <c r="A303" s="52"/>
      <c r="B303" s="48">
        <v>295</v>
      </c>
      <c r="C303" s="32" t="s">
        <v>31</v>
      </c>
      <c r="D303" s="53"/>
      <c r="E303" s="38"/>
      <c r="F303" s="32"/>
      <c r="G303" s="44"/>
      <c r="H303" s="43"/>
      <c r="I303" s="38"/>
      <c r="J303" s="44"/>
      <c r="K303" s="39"/>
      <c r="L303" s="31"/>
      <c r="M303" s="40">
        <f t="shared" si="10"/>
        <v>0</v>
      </c>
      <c r="N303" s="41"/>
      <c r="O303" s="40">
        <f t="shared" si="11"/>
        <v>0</v>
      </c>
      <c r="P303" s="49"/>
    </row>
    <row r="304" spans="1:16" x14ac:dyDescent="0.25">
      <c r="A304" s="52"/>
      <c r="B304" s="48">
        <v>296</v>
      </c>
      <c r="C304" s="32" t="s">
        <v>31</v>
      </c>
      <c r="D304" s="53"/>
      <c r="E304" s="38"/>
      <c r="F304" s="32"/>
      <c r="G304" s="44"/>
      <c r="H304" s="43"/>
      <c r="I304" s="38"/>
      <c r="J304" s="44"/>
      <c r="K304" s="39"/>
      <c r="L304" s="31"/>
      <c r="M304" s="40">
        <f t="shared" si="10"/>
        <v>0</v>
      </c>
      <c r="N304" s="41"/>
      <c r="O304" s="40">
        <f t="shared" si="11"/>
        <v>0</v>
      </c>
      <c r="P304" s="49"/>
    </row>
    <row r="305" spans="1:16" x14ac:dyDescent="0.25">
      <c r="A305" s="52"/>
      <c r="B305" s="48">
        <v>297</v>
      </c>
      <c r="C305" s="32" t="s">
        <v>31</v>
      </c>
      <c r="D305" s="53"/>
      <c r="E305" s="38"/>
      <c r="F305" s="32"/>
      <c r="G305" s="44"/>
      <c r="H305" s="43"/>
      <c r="I305" s="38"/>
      <c r="J305" s="44"/>
      <c r="K305" s="39"/>
      <c r="L305" s="31"/>
      <c r="M305" s="40">
        <f t="shared" si="10"/>
        <v>0</v>
      </c>
      <c r="N305" s="41"/>
      <c r="O305" s="40">
        <f t="shared" si="11"/>
        <v>0</v>
      </c>
      <c r="P305" s="49"/>
    </row>
    <row r="306" spans="1:16" x14ac:dyDescent="0.25">
      <c r="A306" s="52"/>
      <c r="B306" s="48">
        <v>298</v>
      </c>
      <c r="C306" s="32" t="s">
        <v>31</v>
      </c>
      <c r="D306" s="53"/>
      <c r="E306" s="38"/>
      <c r="F306" s="32"/>
      <c r="G306" s="44"/>
      <c r="H306" s="43"/>
      <c r="I306" s="38"/>
      <c r="J306" s="44"/>
      <c r="K306" s="39"/>
      <c r="L306" s="31"/>
      <c r="M306" s="40">
        <f t="shared" si="10"/>
        <v>0</v>
      </c>
      <c r="N306" s="41"/>
      <c r="O306" s="40">
        <f t="shared" si="11"/>
        <v>0</v>
      </c>
      <c r="P306" s="49"/>
    </row>
    <row r="307" spans="1:16" x14ac:dyDescent="0.25">
      <c r="A307" s="52"/>
      <c r="B307" s="48">
        <v>299</v>
      </c>
      <c r="C307" s="32" t="s">
        <v>31</v>
      </c>
      <c r="D307" s="53"/>
      <c r="E307" s="38"/>
      <c r="F307" s="32"/>
      <c r="G307" s="44"/>
      <c r="H307" s="43"/>
      <c r="I307" s="38"/>
      <c r="J307" s="44"/>
      <c r="K307" s="39"/>
      <c r="L307" s="31"/>
      <c r="M307" s="40">
        <f t="shared" si="10"/>
        <v>0</v>
      </c>
      <c r="N307" s="41"/>
      <c r="O307" s="40">
        <f t="shared" si="11"/>
        <v>0</v>
      </c>
      <c r="P307" s="49"/>
    </row>
    <row r="308" spans="1:16" x14ac:dyDescent="0.25">
      <c r="A308" s="52"/>
      <c r="B308" s="48">
        <v>300</v>
      </c>
      <c r="C308" s="32" t="s">
        <v>31</v>
      </c>
      <c r="D308" s="53"/>
      <c r="E308" s="38"/>
      <c r="F308" s="32"/>
      <c r="G308" s="44"/>
      <c r="H308" s="43"/>
      <c r="I308" s="38"/>
      <c r="J308" s="44"/>
      <c r="K308" s="39"/>
      <c r="L308" s="31"/>
      <c r="M308" s="40">
        <f t="shared" ref="M308:M322" si="12">K308/100*L308</f>
        <v>0</v>
      </c>
      <c r="N308" s="41"/>
      <c r="O308" s="40">
        <f t="shared" si="11"/>
        <v>0</v>
      </c>
      <c r="P308" s="49"/>
    </row>
    <row r="309" spans="1:16" x14ac:dyDescent="0.25">
      <c r="A309" s="52"/>
      <c r="B309" s="48">
        <v>301</v>
      </c>
      <c r="C309" s="32" t="s">
        <v>31</v>
      </c>
      <c r="D309" s="53"/>
      <c r="E309" s="38"/>
      <c r="F309" s="32"/>
      <c r="G309" s="44"/>
      <c r="H309" s="43"/>
      <c r="I309" s="38"/>
      <c r="J309" s="44"/>
      <c r="K309" s="39"/>
      <c r="L309" s="31"/>
      <c r="M309" s="40">
        <f t="shared" si="12"/>
        <v>0</v>
      </c>
      <c r="N309" s="41"/>
      <c r="O309" s="40">
        <f t="shared" si="11"/>
        <v>0</v>
      </c>
      <c r="P309" s="49"/>
    </row>
    <row r="310" spans="1:16" x14ac:dyDescent="0.25">
      <c r="A310" s="52"/>
      <c r="B310" s="48">
        <v>302</v>
      </c>
      <c r="C310" s="32" t="s">
        <v>31</v>
      </c>
      <c r="D310" s="53"/>
      <c r="E310" s="38"/>
      <c r="F310" s="32"/>
      <c r="G310" s="44"/>
      <c r="H310" s="43"/>
      <c r="I310" s="38"/>
      <c r="J310" s="44"/>
      <c r="K310" s="39"/>
      <c r="L310" s="31"/>
      <c r="M310" s="40">
        <f t="shared" si="12"/>
        <v>0</v>
      </c>
      <c r="N310" s="41"/>
      <c r="O310" s="40">
        <f t="shared" si="11"/>
        <v>0</v>
      </c>
      <c r="P310" s="49"/>
    </row>
    <row r="311" spans="1:16" x14ac:dyDescent="0.25">
      <c r="A311" s="52"/>
      <c r="B311" s="48">
        <v>303</v>
      </c>
      <c r="C311" s="32" t="s">
        <v>31</v>
      </c>
      <c r="D311" s="53"/>
      <c r="E311" s="38"/>
      <c r="F311" s="32"/>
      <c r="G311" s="44"/>
      <c r="H311" s="43"/>
      <c r="I311" s="38"/>
      <c r="J311" s="44"/>
      <c r="K311" s="39"/>
      <c r="L311" s="31"/>
      <c r="M311" s="40">
        <f t="shared" si="12"/>
        <v>0</v>
      </c>
      <c r="N311" s="41"/>
      <c r="O311" s="40">
        <f t="shared" si="11"/>
        <v>0</v>
      </c>
      <c r="P311" s="49"/>
    </row>
    <row r="312" spans="1:16" x14ac:dyDescent="0.25">
      <c r="A312" s="52"/>
      <c r="B312" s="48">
        <v>304</v>
      </c>
      <c r="C312" s="32" t="s">
        <v>31</v>
      </c>
      <c r="D312" s="53"/>
      <c r="E312" s="38"/>
      <c r="F312" s="32"/>
      <c r="G312" s="44"/>
      <c r="H312" s="43"/>
      <c r="I312" s="38"/>
      <c r="J312" s="44"/>
      <c r="K312" s="39"/>
      <c r="L312" s="31"/>
      <c r="M312" s="40">
        <f t="shared" si="12"/>
        <v>0</v>
      </c>
      <c r="N312" s="41"/>
      <c r="O312" s="40">
        <f t="shared" si="11"/>
        <v>0</v>
      </c>
      <c r="P312" s="49"/>
    </row>
    <row r="313" spans="1:16" x14ac:dyDescent="0.25">
      <c r="A313" s="52"/>
      <c r="B313" s="48">
        <v>305</v>
      </c>
      <c r="C313" s="32" t="s">
        <v>31</v>
      </c>
      <c r="D313" s="53"/>
      <c r="E313" s="38"/>
      <c r="F313" s="32"/>
      <c r="G313" s="44"/>
      <c r="H313" s="43"/>
      <c r="I313" s="38"/>
      <c r="J313" s="44"/>
      <c r="K313" s="39"/>
      <c r="L313" s="31"/>
      <c r="M313" s="40">
        <f t="shared" si="12"/>
        <v>0</v>
      </c>
      <c r="N313" s="41"/>
      <c r="O313" s="40">
        <f t="shared" si="11"/>
        <v>0</v>
      </c>
      <c r="P313" s="49"/>
    </row>
    <row r="314" spans="1:16" x14ac:dyDescent="0.25">
      <c r="A314" s="52"/>
      <c r="B314" s="48">
        <v>306</v>
      </c>
      <c r="C314" s="32" t="s">
        <v>31</v>
      </c>
      <c r="D314" s="53"/>
      <c r="E314" s="38"/>
      <c r="F314" s="32"/>
      <c r="G314" s="44"/>
      <c r="H314" s="43"/>
      <c r="I314" s="38"/>
      <c r="J314" s="44"/>
      <c r="K314" s="39"/>
      <c r="L314" s="31"/>
      <c r="M314" s="40">
        <f t="shared" si="12"/>
        <v>0</v>
      </c>
      <c r="N314" s="41"/>
      <c r="O314" s="40">
        <f t="shared" si="11"/>
        <v>0</v>
      </c>
      <c r="P314" s="49"/>
    </row>
    <row r="315" spans="1:16" x14ac:dyDescent="0.25">
      <c r="A315" s="52"/>
      <c r="B315" s="48">
        <v>307</v>
      </c>
      <c r="C315" s="32" t="s">
        <v>31</v>
      </c>
      <c r="D315" s="53"/>
      <c r="E315" s="38"/>
      <c r="F315" s="32"/>
      <c r="G315" s="44"/>
      <c r="H315" s="43"/>
      <c r="I315" s="38"/>
      <c r="J315" s="44"/>
      <c r="K315" s="39"/>
      <c r="L315" s="31"/>
      <c r="M315" s="40">
        <f t="shared" si="12"/>
        <v>0</v>
      </c>
      <c r="N315" s="41"/>
      <c r="O315" s="40">
        <f t="shared" si="11"/>
        <v>0</v>
      </c>
      <c r="P315" s="49"/>
    </row>
    <row r="316" spans="1:16" x14ac:dyDescent="0.25">
      <c r="A316" s="52"/>
      <c r="B316" s="48">
        <v>308</v>
      </c>
      <c r="C316" s="32" t="s">
        <v>31</v>
      </c>
      <c r="D316" s="53"/>
      <c r="E316" s="38"/>
      <c r="F316" s="32"/>
      <c r="G316" s="44"/>
      <c r="H316" s="43"/>
      <c r="I316" s="38"/>
      <c r="J316" s="44"/>
      <c r="K316" s="39"/>
      <c r="L316" s="31"/>
      <c r="M316" s="40">
        <f t="shared" si="12"/>
        <v>0</v>
      </c>
      <c r="N316" s="41"/>
      <c r="O316" s="40">
        <f t="shared" si="11"/>
        <v>0</v>
      </c>
      <c r="P316" s="49"/>
    </row>
    <row r="317" spans="1:16" x14ac:dyDescent="0.25">
      <c r="A317" s="52"/>
      <c r="B317" s="48">
        <v>309</v>
      </c>
      <c r="C317" s="32" t="s">
        <v>31</v>
      </c>
      <c r="D317" s="53"/>
      <c r="E317" s="38"/>
      <c r="F317" s="32"/>
      <c r="G317" s="44"/>
      <c r="H317" s="43"/>
      <c r="I317" s="38"/>
      <c r="J317" s="44"/>
      <c r="K317" s="39"/>
      <c r="L317" s="31"/>
      <c r="M317" s="40">
        <f t="shared" si="12"/>
        <v>0</v>
      </c>
      <c r="N317" s="41"/>
      <c r="O317" s="40">
        <f t="shared" si="11"/>
        <v>0</v>
      </c>
      <c r="P317" s="49"/>
    </row>
    <row r="318" spans="1:16" x14ac:dyDescent="0.25">
      <c r="A318" s="52"/>
      <c r="B318" s="48">
        <v>310</v>
      </c>
      <c r="C318" s="32" t="s">
        <v>31</v>
      </c>
      <c r="D318" s="53"/>
      <c r="E318" s="38"/>
      <c r="F318" s="32"/>
      <c r="G318" s="44"/>
      <c r="H318" s="43"/>
      <c r="I318" s="38"/>
      <c r="J318" s="44"/>
      <c r="K318" s="39"/>
      <c r="L318" s="31"/>
      <c r="M318" s="40">
        <f t="shared" si="12"/>
        <v>0</v>
      </c>
      <c r="N318" s="41"/>
      <c r="O318" s="40">
        <f t="shared" si="11"/>
        <v>0</v>
      </c>
      <c r="P318" s="49"/>
    </row>
    <row r="319" spans="1:16" x14ac:dyDescent="0.25">
      <c r="A319" s="52"/>
      <c r="B319" s="48">
        <v>311</v>
      </c>
      <c r="C319" s="32" t="s">
        <v>31</v>
      </c>
      <c r="D319" s="53"/>
      <c r="E319" s="38"/>
      <c r="F319" s="32"/>
      <c r="G319" s="44"/>
      <c r="H319" s="43"/>
      <c r="I319" s="38"/>
      <c r="J319" s="44"/>
      <c r="K319" s="39"/>
      <c r="L319" s="31"/>
      <c r="M319" s="40">
        <f t="shared" si="12"/>
        <v>0</v>
      </c>
      <c r="N319" s="41"/>
      <c r="O319" s="40">
        <f t="shared" si="11"/>
        <v>0</v>
      </c>
      <c r="P319" s="49"/>
    </row>
    <row r="320" spans="1:16" x14ac:dyDescent="0.25">
      <c r="A320" s="52"/>
      <c r="B320" s="48">
        <v>312</v>
      </c>
      <c r="C320" s="32" t="s">
        <v>31</v>
      </c>
      <c r="D320" s="53"/>
      <c r="E320" s="38"/>
      <c r="F320" s="32"/>
      <c r="G320" s="44"/>
      <c r="H320" s="43"/>
      <c r="I320" s="38"/>
      <c r="J320" s="44"/>
      <c r="K320" s="39"/>
      <c r="L320" s="31"/>
      <c r="M320" s="40">
        <f t="shared" si="12"/>
        <v>0</v>
      </c>
      <c r="N320" s="41"/>
      <c r="O320" s="40">
        <f t="shared" si="11"/>
        <v>0</v>
      </c>
      <c r="P320" s="49"/>
    </row>
    <row r="321" spans="1:16" x14ac:dyDescent="0.25">
      <c r="A321" s="52"/>
      <c r="B321" s="48">
        <v>313</v>
      </c>
      <c r="C321" s="32" t="s">
        <v>31</v>
      </c>
      <c r="D321" s="32"/>
      <c r="E321" s="38"/>
      <c r="F321" s="32"/>
      <c r="G321" s="44"/>
      <c r="H321" s="43"/>
      <c r="I321" s="38"/>
      <c r="J321" s="44"/>
      <c r="K321" s="39"/>
      <c r="L321" s="31"/>
      <c r="M321" s="40">
        <f t="shared" si="12"/>
        <v>0</v>
      </c>
      <c r="N321" s="41"/>
      <c r="O321" s="40">
        <f t="shared" si="11"/>
        <v>0</v>
      </c>
      <c r="P321" s="49"/>
    </row>
    <row r="322" spans="1:16" ht="15.75" thickBot="1" x14ac:dyDescent="0.3">
      <c r="A322" s="52"/>
      <c r="B322" s="48">
        <v>314</v>
      </c>
      <c r="C322" s="32" t="s">
        <v>31</v>
      </c>
      <c r="D322" s="53"/>
      <c r="E322" s="38"/>
      <c r="F322" s="32"/>
      <c r="G322" s="44"/>
      <c r="H322" s="43"/>
      <c r="I322" s="38"/>
      <c r="J322" s="44"/>
      <c r="K322" s="39"/>
      <c r="L322" s="31"/>
      <c r="M322" s="40">
        <f t="shared" si="12"/>
        <v>0</v>
      </c>
      <c r="N322" s="41"/>
      <c r="O322" s="40">
        <f t="shared" si="11"/>
        <v>0</v>
      </c>
      <c r="P322" s="49"/>
    </row>
    <row r="323" spans="1:16" ht="19.5" thickBot="1" x14ac:dyDescent="0.35">
      <c r="A323" s="54"/>
      <c r="B323" s="55"/>
      <c r="C323" s="56"/>
      <c r="D323" s="57" t="s">
        <v>98</v>
      </c>
      <c r="E323" s="58"/>
      <c r="F323" s="56"/>
      <c r="G323" s="59"/>
      <c r="H323" s="60"/>
      <c r="I323" s="58"/>
      <c r="J323" s="59"/>
      <c r="K323" s="61">
        <f>SUM(K9:K322)</f>
        <v>4529</v>
      </c>
      <c r="L323" s="62"/>
      <c r="M323" s="63">
        <f>SUM(M9:M322)</f>
        <v>393.64000000000004</v>
      </c>
      <c r="N323" s="63"/>
      <c r="O323" s="63">
        <f>SUM(O9:O322)</f>
        <v>13243.823800000006</v>
      </c>
      <c r="P323" s="64"/>
    </row>
  </sheetData>
  <mergeCells count="2">
    <mergeCell ref="E7:G7"/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adma11</dc:creator>
  <cp:lastModifiedBy>adma11</cp:lastModifiedBy>
  <dcterms:created xsi:type="dcterms:W3CDTF">2015-06-05T18:17:20Z</dcterms:created>
  <dcterms:modified xsi:type="dcterms:W3CDTF">2026-10-02T10:43:25Z</dcterms:modified>
</cp:coreProperties>
</file>